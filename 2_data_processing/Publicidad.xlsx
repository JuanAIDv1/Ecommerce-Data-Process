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gestador\output\"/>
    </mc:Choice>
  </mc:AlternateContent>
  <xr:revisionPtr revIDLastSave="0" documentId="8_{20490DED-2C3D-4049-8866-0B89B90ACEC2}" xr6:coauthVersionLast="47" xr6:coauthVersionMax="47" xr10:uidLastSave="{00000000-0000-0000-0000-000000000000}"/>
  <bookViews>
    <workbookView xWindow="-120" yWindow="-120" windowWidth="20730" windowHeight="11160" xr2:uid="{CBDB4AC0-F804-43A1-978B-DD05CD0CAEED}"/>
  </bookViews>
  <sheets>
    <sheet name="PUBLICIDAD" sheetId="1" r:id="rId1"/>
  </sheets>
  <externalReferences>
    <externalReference r:id="rId2"/>
  </externalReferences>
  <definedNames>
    <definedName name="_xlnm._FilterDatabase" localSheetId="0" hidden="1">PUBLICIDAD!$A$1:$X$52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3" i="1" l="1"/>
  <c r="AB52" i="1"/>
  <c r="Z52" i="1"/>
  <c r="AA52" i="1" s="1"/>
  <c r="Y52" i="1"/>
  <c r="AB51" i="1"/>
  <c r="Z51" i="1"/>
  <c r="AA51" i="1" s="1"/>
  <c r="Y51" i="1"/>
  <c r="AB50" i="1"/>
  <c r="Z50" i="1"/>
  <c r="AA50" i="1" s="1"/>
  <c r="Y50" i="1"/>
  <c r="AB49" i="1"/>
  <c r="Z49" i="1"/>
  <c r="AA49" i="1" s="1"/>
  <c r="Y49" i="1"/>
  <c r="AB48" i="1"/>
  <c r="Z48" i="1"/>
  <c r="AA48" i="1" s="1"/>
  <c r="Y48" i="1"/>
  <c r="AB47" i="1"/>
  <c r="Z47" i="1"/>
  <c r="AA47" i="1" s="1"/>
  <c r="Y47" i="1"/>
  <c r="AB46" i="1"/>
  <c r="Z46" i="1"/>
  <c r="AA46" i="1" s="1"/>
  <c r="Y46" i="1"/>
  <c r="AB45" i="1"/>
  <c r="Z45" i="1"/>
  <c r="AA45" i="1" s="1"/>
  <c r="Y45" i="1"/>
  <c r="AB44" i="1"/>
  <c r="Z44" i="1"/>
  <c r="AA44" i="1" s="1"/>
  <c r="Y44" i="1"/>
  <c r="AB43" i="1"/>
  <c r="Z43" i="1"/>
  <c r="AA43" i="1" s="1"/>
  <c r="Y43" i="1"/>
  <c r="AB42" i="1"/>
  <c r="Z42" i="1"/>
  <c r="AA42" i="1" s="1"/>
  <c r="Y42" i="1"/>
  <c r="AB41" i="1"/>
  <c r="Z41" i="1"/>
  <c r="AA41" i="1" s="1"/>
  <c r="Y41" i="1"/>
  <c r="AB40" i="1"/>
  <c r="Z40" i="1"/>
  <c r="AA40" i="1" s="1"/>
  <c r="Y40" i="1"/>
  <c r="AB39" i="1"/>
  <c r="Z39" i="1"/>
  <c r="AA39" i="1" s="1"/>
  <c r="Y39" i="1"/>
  <c r="AB38" i="1"/>
  <c r="Z38" i="1"/>
  <c r="AA38" i="1" s="1"/>
  <c r="Y38" i="1"/>
  <c r="AB37" i="1"/>
  <c r="Z37" i="1"/>
  <c r="AA37" i="1" s="1"/>
  <c r="Y37" i="1"/>
  <c r="AB36" i="1"/>
  <c r="Z36" i="1"/>
  <c r="AA36" i="1" s="1"/>
  <c r="Y36" i="1"/>
  <c r="AB35" i="1"/>
  <c r="Z35" i="1"/>
  <c r="AA35" i="1" s="1"/>
  <c r="Y35" i="1"/>
  <c r="AB34" i="1"/>
  <c r="Z34" i="1"/>
  <c r="AA34" i="1" s="1"/>
  <c r="Y34" i="1"/>
  <c r="AB33" i="1"/>
  <c r="Z33" i="1"/>
  <c r="AA33" i="1" s="1"/>
  <c r="Y33" i="1"/>
  <c r="AB32" i="1"/>
  <c r="Z32" i="1"/>
  <c r="AA32" i="1" s="1"/>
  <c r="Y32" i="1"/>
  <c r="AB31" i="1"/>
  <c r="Z31" i="1"/>
  <c r="AA31" i="1" s="1"/>
  <c r="Y31" i="1"/>
  <c r="AB30" i="1"/>
  <c r="Z30" i="1"/>
  <c r="AA30" i="1" s="1"/>
  <c r="Y30" i="1"/>
  <c r="AB29" i="1"/>
  <c r="Z29" i="1"/>
  <c r="AA29" i="1" s="1"/>
  <c r="Y29" i="1"/>
  <c r="AB28" i="1"/>
  <c r="Z28" i="1"/>
  <c r="AA28" i="1" s="1"/>
  <c r="Y28" i="1"/>
  <c r="AB27" i="1"/>
  <c r="Z27" i="1"/>
  <c r="AA27" i="1" s="1"/>
  <c r="Y27" i="1"/>
  <c r="AB26" i="1"/>
  <c r="Z26" i="1"/>
  <c r="AA26" i="1" s="1"/>
  <c r="Y26" i="1"/>
  <c r="AB25" i="1"/>
  <c r="Z25" i="1"/>
  <c r="AA25" i="1" s="1"/>
  <c r="Y25" i="1"/>
  <c r="AB24" i="1"/>
  <c r="Z24" i="1"/>
  <c r="AA24" i="1" s="1"/>
  <c r="Y24" i="1"/>
  <c r="AB23" i="1"/>
  <c r="Z23" i="1"/>
  <c r="AA23" i="1" s="1"/>
  <c r="Y23" i="1"/>
  <c r="AB22" i="1"/>
  <c r="Z22" i="1"/>
  <c r="AA22" i="1" s="1"/>
  <c r="Y22" i="1"/>
  <c r="AB21" i="1"/>
  <c r="Z21" i="1"/>
  <c r="AA21" i="1" s="1"/>
  <c r="Y21" i="1"/>
  <c r="AB20" i="1"/>
  <c r="Z20" i="1"/>
  <c r="AA20" i="1" s="1"/>
  <c r="Y20" i="1"/>
  <c r="AB19" i="1"/>
  <c r="Z19" i="1"/>
  <c r="AA19" i="1" s="1"/>
  <c r="Y19" i="1"/>
  <c r="AB18" i="1"/>
  <c r="Z18" i="1"/>
  <c r="AA18" i="1" s="1"/>
  <c r="Y18" i="1"/>
  <c r="AB17" i="1"/>
  <c r="Z17" i="1"/>
  <c r="AA17" i="1" s="1"/>
  <c r="Y17" i="1"/>
  <c r="AB16" i="1"/>
  <c r="Z16" i="1"/>
  <c r="AA16" i="1" s="1"/>
  <c r="Y16" i="1"/>
  <c r="AB15" i="1"/>
  <c r="Z15" i="1"/>
  <c r="AA15" i="1" s="1"/>
  <c r="Y15" i="1"/>
  <c r="AB14" i="1"/>
  <c r="Z14" i="1"/>
  <c r="AA14" i="1" s="1"/>
  <c r="Y14" i="1"/>
  <c r="AB13" i="1"/>
  <c r="Z13" i="1"/>
  <c r="AA13" i="1" s="1"/>
  <c r="Y13" i="1"/>
  <c r="AB12" i="1"/>
  <c r="Z12" i="1"/>
  <c r="AA12" i="1" s="1"/>
  <c r="Y12" i="1"/>
  <c r="AB11" i="1"/>
  <c r="Z11" i="1"/>
  <c r="AA11" i="1" s="1"/>
  <c r="Y11" i="1"/>
  <c r="AB10" i="1"/>
  <c r="Z10" i="1"/>
  <c r="AA10" i="1" s="1"/>
  <c r="Y10" i="1"/>
  <c r="AB9" i="1"/>
  <c r="Z9" i="1"/>
  <c r="AA9" i="1" s="1"/>
  <c r="Y9" i="1"/>
  <c r="AB8" i="1"/>
  <c r="Z8" i="1"/>
  <c r="AA8" i="1" s="1"/>
  <c r="Y8" i="1"/>
  <c r="AB7" i="1"/>
  <c r="Z7" i="1"/>
  <c r="AA7" i="1" s="1"/>
  <c r="Y7" i="1"/>
  <c r="AB6" i="1"/>
  <c r="Z6" i="1"/>
  <c r="AA6" i="1" s="1"/>
  <c r="Y6" i="1"/>
  <c r="AB5" i="1"/>
  <c r="Z5" i="1"/>
  <c r="AA5" i="1" s="1"/>
  <c r="Y5" i="1"/>
  <c r="AB4" i="1"/>
  <c r="Z4" i="1"/>
  <c r="AA4" i="1" s="1"/>
  <c r="Y4" i="1"/>
  <c r="AB3" i="1"/>
  <c r="Z3" i="1"/>
  <c r="AA3" i="1" s="1"/>
  <c r="Y3" i="1"/>
  <c r="AB2" i="1"/>
  <c r="Z2" i="1"/>
  <c r="AA2" i="1" s="1"/>
  <c r="Y2" i="1"/>
</calcChain>
</file>

<file path=xl/sharedStrings.xml><?xml version="1.0" encoding="utf-8"?>
<sst xmlns="http://schemas.openxmlformats.org/spreadsheetml/2006/main" count="1103" uniqueCount="192">
  <si>
    <t>N.º de factura</t>
  </si>
  <si>
    <t>Fecha de emisión</t>
  </si>
  <si>
    <t>Nombre del cliente</t>
  </si>
  <si>
    <t>Facturada a</t>
  </si>
  <si>
    <t>Región de facturación</t>
  </si>
  <si>
    <t>Dirección de facturación detallada</t>
  </si>
  <si>
    <t>Primer n.º fiscal</t>
  </si>
  <si>
    <t>Segundo n.º fiscal</t>
  </si>
  <si>
    <t>Correo electrónico del destinatario de la factura</t>
  </si>
  <si>
    <t>Moneda</t>
  </si>
  <si>
    <t>Importe total</t>
  </si>
  <si>
    <t>Importe fiscal total</t>
  </si>
  <si>
    <t>Tipo de impuesto 1</t>
  </si>
  <si>
    <t>Tipo impositivo 1</t>
  </si>
  <si>
    <t>Tipo de impuesto 2</t>
  </si>
  <si>
    <t>Tipo impositivo 2</t>
  </si>
  <si>
    <t>Subtotal</t>
  </si>
  <si>
    <t>Estado de la factura</t>
  </si>
  <si>
    <t>Estado del pago</t>
  </si>
  <si>
    <t>Fecha de vencimiento del pago</t>
  </si>
  <si>
    <t>N.º de la nota de crédito vinculada</t>
  </si>
  <si>
    <t>Importe sin pagar</t>
  </si>
  <si>
    <t>ID del grupo de facturación</t>
  </si>
  <si>
    <t>N.º del informe de transacciones vinculado</t>
  </si>
  <si>
    <t>AÑO</t>
  </si>
  <si>
    <t>MES</t>
  </si>
  <si>
    <t>NOM_MES</t>
  </si>
  <si>
    <t>DIA</t>
  </si>
  <si>
    <t>BDUK20252375566</t>
  </si>
  <si>
    <t>2025-06-30</t>
  </si>
  <si>
    <t xml:space="preserve"> Albero decoración obras S.L.</t>
  </si>
  <si>
    <t>ES</t>
  </si>
  <si>
    <t>Calle julio romero de torres, 27B,Andalusia,Spain 29670</t>
  </si>
  <si>
    <t>ESB93512622</t>
  </si>
  <si>
    <t/>
  </si>
  <si>
    <t>coyotecosmico1@protonmail.com</t>
  </si>
  <si>
    <t>EUR</t>
  </si>
  <si>
    <t>0.00</t>
  </si>
  <si>
    <t>VAT</t>
  </si>
  <si>
    <t>0.0</t>
  </si>
  <si>
    <t>130.00</t>
  </si>
  <si>
    <t>Aprobada</t>
  </si>
  <si>
    <t>Pagada</t>
  </si>
  <si>
    <t>7504776067992011538</t>
  </si>
  <si>
    <t>ST115003833996</t>
  </si>
  <si>
    <t>BDUK20252380681</t>
  </si>
  <si>
    <t>300.00</t>
  </si>
  <si>
    <t>7504776326076056337</t>
  </si>
  <si>
    <t>RE7521818301077504785</t>
  </si>
  <si>
    <t>BDUK20252371679</t>
  </si>
  <si>
    <t>2025-06-29</t>
  </si>
  <si>
    <t>175.00</t>
  </si>
  <si>
    <t>RE7521497717437416209</t>
  </si>
  <si>
    <t>BDUK20252353036</t>
  </si>
  <si>
    <t>2025-06-28</t>
  </si>
  <si>
    <t>70.00</t>
  </si>
  <si>
    <t>RE7520774577669096208</t>
  </si>
  <si>
    <t>BDUK20252361655</t>
  </si>
  <si>
    <t>150.00</t>
  </si>
  <si>
    <t>RE7521102722054095633</t>
  </si>
  <si>
    <t>BDUK20252361662</t>
  </si>
  <si>
    <t>RE7521102648268047105</t>
  </si>
  <si>
    <t>BDUK20252344391</t>
  </si>
  <si>
    <t>2025-06-27</t>
  </si>
  <si>
    <t>200.00</t>
  </si>
  <si>
    <t>RE7520519746236744465</t>
  </si>
  <si>
    <t>BDUK20252349397</t>
  </si>
  <si>
    <t>100.00</t>
  </si>
  <si>
    <t>RE7520657677740065553</t>
  </si>
  <si>
    <t>BDUK20252341319</t>
  </si>
  <si>
    <t>2025-06-26</t>
  </si>
  <si>
    <t>110.00</t>
  </si>
  <si>
    <t>RE7520356515505767169</t>
  </si>
  <si>
    <t>BDUK20252328108</t>
  </si>
  <si>
    <t>2025-06-25</t>
  </si>
  <si>
    <t>RE7519986917262541585</t>
  </si>
  <si>
    <t>BDUK20252295935</t>
  </si>
  <si>
    <t>2025-06-23</t>
  </si>
  <si>
    <t>RE7519062254436811521</t>
  </si>
  <si>
    <t>BDUK20252287651</t>
  </si>
  <si>
    <t>2025-06-22</t>
  </si>
  <si>
    <t>35.00</t>
  </si>
  <si>
    <t>ST11500173825</t>
  </si>
  <si>
    <t>BDUK20252288378</t>
  </si>
  <si>
    <t>50.00</t>
  </si>
  <si>
    <t>Sin necesidad de pagar</t>
  </si>
  <si>
    <t>BDUK20252288378-CN</t>
  </si>
  <si>
    <t>RE7518792712510817040</t>
  </si>
  <si>
    <t>BDUK20252288980</t>
  </si>
  <si>
    <t>40.00</t>
  </si>
  <si>
    <t>RE7518809285728715537</t>
  </si>
  <si>
    <t>BDUK20252259453</t>
  </si>
  <si>
    <t>2025-06-20</t>
  </si>
  <si>
    <t>15.00</t>
  </si>
  <si>
    <t>RE7517837183240225553</t>
  </si>
  <si>
    <t>BDUK20252246018</t>
  </si>
  <si>
    <t>2025-06-18</t>
  </si>
  <si>
    <t>RE7517424102794380049</t>
  </si>
  <si>
    <t>BDUK20252227957</t>
  </si>
  <si>
    <t>2025-06-17</t>
  </si>
  <si>
    <t>3.34</t>
  </si>
  <si>
    <t>7504775674285703944</t>
  </si>
  <si>
    <t>ST11496338385</t>
  </si>
  <si>
    <t>BDUK20252227992</t>
  </si>
  <si>
    <t>10.00</t>
  </si>
  <si>
    <t>ST11496337445</t>
  </si>
  <si>
    <t>BDUK20252228498</t>
  </si>
  <si>
    <t>BDUK20252228498-CN</t>
  </si>
  <si>
    <t>RE7516940589020218113</t>
  </si>
  <si>
    <t>BDUK20252231478</t>
  </si>
  <si>
    <t>20.00</t>
  </si>
  <si>
    <t>RE7516998213958812417</t>
  </si>
  <si>
    <t>BDUK20252232590</t>
  </si>
  <si>
    <t>RE7517025052681061136</t>
  </si>
  <si>
    <t>BDUK20252219324</t>
  </si>
  <si>
    <t>2025-06-16</t>
  </si>
  <si>
    <t>RE7516637444993843985</t>
  </si>
  <si>
    <t>BDUK20252205914</t>
  </si>
  <si>
    <t>2025-06-15</t>
  </si>
  <si>
    <t>RE7516237818826572560</t>
  </si>
  <si>
    <t>BDUK20252196758</t>
  </si>
  <si>
    <t>2025-06-14</t>
  </si>
  <si>
    <t>ST11494710950</t>
  </si>
  <si>
    <t>BDUK20252197097</t>
  </si>
  <si>
    <t>RE7515890875776615185</t>
  </si>
  <si>
    <t>BDUK20252185038</t>
  </si>
  <si>
    <t>2025-06-13</t>
  </si>
  <si>
    <t>16.00</t>
  </si>
  <si>
    <t>RE7515465646331904785</t>
  </si>
  <si>
    <t>BDUK20252169146</t>
  </si>
  <si>
    <t>2025-06-12</t>
  </si>
  <si>
    <t>RE7515045214948573968</t>
  </si>
  <si>
    <t>BDUK20252156492</t>
  </si>
  <si>
    <t>2025-06-11</t>
  </si>
  <si>
    <t>RE7514706680190518032</t>
  </si>
  <si>
    <t>BDUK20252159875</t>
  </si>
  <si>
    <t>4.52</t>
  </si>
  <si>
    <t>ST11492314163</t>
  </si>
  <si>
    <t>BDUK20252161513</t>
  </si>
  <si>
    <t>24.00</t>
  </si>
  <si>
    <t>RE7514804340381614865</t>
  </si>
  <si>
    <t>BDUK20252138384</t>
  </si>
  <si>
    <t>2025-06-10</t>
  </si>
  <si>
    <t>RE7514188663719363344</t>
  </si>
  <si>
    <t>BDUK20252143347</t>
  </si>
  <si>
    <t>RE7514315182970241793</t>
  </si>
  <si>
    <t>BDUK20252148480</t>
  </si>
  <si>
    <t>RE7514428993576256273</t>
  </si>
  <si>
    <t>BDUK20252124152</t>
  </si>
  <si>
    <t>2025-06-08</t>
  </si>
  <si>
    <t>RE7513675557364564737</t>
  </si>
  <si>
    <t>BDUK20252102340</t>
  </si>
  <si>
    <t>2025-06-06</t>
  </si>
  <si>
    <t>RE7512913810387321617</t>
  </si>
  <si>
    <t>BDUK20252087385</t>
  </si>
  <si>
    <t>2025-06-05</t>
  </si>
  <si>
    <t>RE7512467278017905409</t>
  </si>
  <si>
    <t>BDUK20252092461</t>
  </si>
  <si>
    <t>RE7512572978408801025</t>
  </si>
  <si>
    <t>BDUK20252068544</t>
  </si>
  <si>
    <t>2025-06-04</t>
  </si>
  <si>
    <t>RE7511871828449837825</t>
  </si>
  <si>
    <t>BDUK20252070975</t>
  </si>
  <si>
    <t>RE7512014393400574737</t>
  </si>
  <si>
    <t>BDUK20252079213</t>
  </si>
  <si>
    <t>RE7512212543025234704</t>
  </si>
  <si>
    <t>BDUK20252058941</t>
  </si>
  <si>
    <t>2025-06-03</t>
  </si>
  <si>
    <t>RE7511603339797201681</t>
  </si>
  <si>
    <t>BDUK20252047401</t>
  </si>
  <si>
    <t>2025-06-02</t>
  </si>
  <si>
    <t>13.00</t>
  </si>
  <si>
    <t>RE7511235541975745297</t>
  </si>
  <si>
    <t>BDUK20252056703</t>
  </si>
  <si>
    <t>RE7511454464231031569</t>
  </si>
  <si>
    <t>BDUK20251899509</t>
  </si>
  <si>
    <t>2025-05-24</t>
  </si>
  <si>
    <t>RE7507828164089889552</t>
  </si>
  <si>
    <t>BDUK20251890029</t>
  </si>
  <si>
    <t>2025-05-23</t>
  </si>
  <si>
    <t>RE7507562308172808977</t>
  </si>
  <si>
    <t>BDUK20251886267</t>
  </si>
  <si>
    <t>2025-05-22</t>
  </si>
  <si>
    <t>RE7507400606227677953</t>
  </si>
  <si>
    <t>BDUK20251870918</t>
  </si>
  <si>
    <t>2025-05-21</t>
  </si>
  <si>
    <t>RE7506968177822384912</t>
  </si>
  <si>
    <t>BDUK20251814093</t>
  </si>
  <si>
    <t>2025-05-16</t>
  </si>
  <si>
    <t>RE7505098273280017168</t>
  </si>
  <si>
    <t>BDUK20251816755</t>
  </si>
  <si>
    <t>RE7505171990077293329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</si>
</sst>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name val="Arial"/>
      <family val="2"/>
    </font>
    <font>
      <b/>
      <sz val="11"/>
      <color rgb="FF000000"/>
      <name val="Calibri"/>
      <family val="2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0" borderId="0" xfId="1"/>
    <xf numFmtId="0" fontId="4" fillId="0" borderId="0" xfId="1" applyFont="1" applyAlignment="1">
      <alignment wrapText="1"/>
    </xf>
  </cellXfs>
  <cellStyles count="2">
    <cellStyle name="Normal" xfId="0" builtinId="0"/>
    <cellStyle name="Normal 2" xfId="1" xr:uid="{864B0618-49FA-4BB4-9270-900DABE1E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_.DESKTOP-S8MDVBQ\Documents\PRESENTACIONES_ECOMMERCE\RESULTADO_JUNIO.xlsx" TargetMode="External"/><Relationship Id="rId1" Type="http://schemas.openxmlformats.org/officeDocument/2006/relationships/externalLinkPath" Target="/Users/juan_.DESKTOP-S8MDVBQ/Documents/PRESENTACIONES_ECOMMERCE/RESULTADO_JU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RESUMEN"/>
      <sheetName val="Hoja5"/>
      <sheetName val="VENTAS"/>
      <sheetName val="PUBLICIDAD"/>
      <sheetName val="WALLET_DROPI_PRO"/>
      <sheetName val="WALLET_DROPEA"/>
      <sheetName val="TABLA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>
        <row r="1">
          <cell r="A1" t="str">
            <v>NUM_MES</v>
          </cell>
          <cell r="B1" t="str">
            <v>NOM_MES</v>
          </cell>
        </row>
        <row r="2">
          <cell r="A2">
            <v>1</v>
          </cell>
          <cell r="B2" t="str">
            <v>ENERO</v>
          </cell>
        </row>
        <row r="3">
          <cell r="A3">
            <v>2</v>
          </cell>
          <cell r="B3" t="str">
            <v>FEBRERO</v>
          </cell>
        </row>
        <row r="4">
          <cell r="A4">
            <v>3</v>
          </cell>
          <cell r="B4" t="str">
            <v>MARZO</v>
          </cell>
        </row>
        <row r="5">
          <cell r="A5">
            <v>4</v>
          </cell>
          <cell r="B5" t="str">
            <v>ABRIL</v>
          </cell>
        </row>
        <row r="6">
          <cell r="A6">
            <v>5</v>
          </cell>
          <cell r="B6" t="str">
            <v>MAYO</v>
          </cell>
        </row>
        <row r="7">
          <cell r="A7">
            <v>6</v>
          </cell>
          <cell r="B7" t="str">
            <v>JUNIO</v>
          </cell>
        </row>
        <row r="8">
          <cell r="A8">
            <v>7</v>
          </cell>
          <cell r="B8" t="str">
            <v>JULIO</v>
          </cell>
        </row>
        <row r="9">
          <cell r="A9">
            <v>8</v>
          </cell>
          <cell r="B9" t="str">
            <v>AGOSTO</v>
          </cell>
        </row>
        <row r="10">
          <cell r="A10">
            <v>9</v>
          </cell>
          <cell r="B10" t="str">
            <v>SEPTIEMBRE</v>
          </cell>
        </row>
        <row r="11">
          <cell r="A11">
            <v>10</v>
          </cell>
          <cell r="B11" t="str">
            <v>OCTUBRE</v>
          </cell>
        </row>
        <row r="12">
          <cell r="A12">
            <v>11</v>
          </cell>
          <cell r="B12" t="str">
            <v>NOVIEMBRE</v>
          </cell>
        </row>
        <row r="13">
          <cell r="A13">
            <v>12</v>
          </cell>
          <cell r="B13" t="str">
            <v>DICIEMBRE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B1A1-3564-4BEB-9595-54F61B57F86C}">
  <dimension ref="A1:AB53"/>
  <sheetViews>
    <sheetView tabSelected="1" topLeftCell="U1" workbookViewId="0">
      <selection activeCell="X3" sqref="X3"/>
    </sheetView>
  </sheetViews>
  <sheetFormatPr baseColWidth="10" defaultColWidth="8.7109375" defaultRowHeight="15" x14ac:dyDescent="0.25"/>
  <cols>
    <col min="1" max="1" width="19.140625" style="3" customWidth="1"/>
    <col min="2" max="2" width="21.140625" style="3" customWidth="1"/>
    <col min="3" max="4" width="30.140625" style="3" customWidth="1"/>
    <col min="5" max="5" width="27.140625" style="3" customWidth="1"/>
    <col min="6" max="6" width="55.140625" style="3" customWidth="1"/>
    <col min="7" max="7" width="22.140625" style="3" customWidth="1"/>
    <col min="8" max="8" width="23.140625" style="3" customWidth="1"/>
    <col min="9" max="9" width="54.140625" style="3" customWidth="1"/>
    <col min="10" max="10" width="10.140625" style="3" customWidth="1"/>
    <col min="11" max="11" width="17.140625" style="3" customWidth="1"/>
    <col min="12" max="12" width="24.140625" style="3" customWidth="1"/>
    <col min="13" max="13" width="23.140625" style="3" customWidth="1"/>
    <col min="14" max="14" width="22.140625" style="3" customWidth="1"/>
    <col min="15" max="15" width="23.140625" style="3" customWidth="1"/>
    <col min="16" max="16" width="22.140625" style="3" customWidth="1"/>
    <col min="17" max="17" width="12.140625" style="3" customWidth="1"/>
    <col min="18" max="18" width="24.140625" style="3" customWidth="1"/>
    <col min="19" max="19" width="22.140625" style="3" customWidth="1"/>
    <col min="20" max="20" width="33.140625" style="3" customWidth="1"/>
    <col min="21" max="21" width="41.140625" style="3" customWidth="1"/>
    <col min="22" max="22" width="21.140625" style="3" customWidth="1"/>
    <col min="23" max="23" width="32.140625" style="3" customWidth="1"/>
    <col min="24" max="24" width="47.140625" style="3" customWidth="1"/>
    <col min="25" max="25" width="11.85546875" style="3" bestFit="1" customWidth="1"/>
    <col min="26" max="26" width="8.7109375" style="3"/>
    <col min="27" max="27" width="10.28515625" style="3" bestFit="1" customWidth="1"/>
    <col min="28" max="16384" width="8.7109375" style="3"/>
  </cols>
  <sheetData>
    <row r="1" spans="1:2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5" customHeight="1" x14ac:dyDescent="0.25">
      <c r="A2" s="4" t="s">
        <v>28</v>
      </c>
      <c r="B2" s="4" t="s">
        <v>29</v>
      </c>
      <c r="C2" s="4" t="s">
        <v>30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>
        <v>130</v>
      </c>
      <c r="L2" s="4" t="s">
        <v>37</v>
      </c>
      <c r="M2" s="4" t="s">
        <v>38</v>
      </c>
      <c r="N2" s="4" t="s">
        <v>39</v>
      </c>
      <c r="O2" s="4"/>
      <c r="P2" s="4"/>
      <c r="Q2" s="4" t="s">
        <v>40</v>
      </c>
      <c r="R2" s="4" t="s">
        <v>41</v>
      </c>
      <c r="S2" s="4" t="s">
        <v>42</v>
      </c>
      <c r="T2" s="4" t="s">
        <v>29</v>
      </c>
      <c r="U2" s="4" t="s">
        <v>34</v>
      </c>
      <c r="V2" s="4" t="s">
        <v>37</v>
      </c>
      <c r="W2" s="4" t="s">
        <v>43</v>
      </c>
      <c r="X2" s="4" t="s">
        <v>44</v>
      </c>
      <c r="Y2" s="3">
        <f>YEAR(B2)</f>
        <v>2025</v>
      </c>
      <c r="Z2" s="3">
        <f>MONTH(B2)</f>
        <v>6</v>
      </c>
      <c r="AA2" s="3" t="str">
        <f>IFERROR(VLOOKUP($Z2,[1]TABLAS!$A$1:$B$13,2,0),"ERROR")</f>
        <v>JUNIO</v>
      </c>
      <c r="AB2" s="3">
        <f>DAY(B2)</f>
        <v>30</v>
      </c>
    </row>
    <row r="3" spans="1:28" ht="15" customHeight="1" x14ac:dyDescent="0.25">
      <c r="A3" s="4" t="s">
        <v>45</v>
      </c>
      <c r="B3" s="4" t="s">
        <v>29</v>
      </c>
      <c r="C3" s="4" t="s">
        <v>30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>
        <v>300</v>
      </c>
      <c r="L3" s="4" t="s">
        <v>37</v>
      </c>
      <c r="M3" s="4" t="s">
        <v>38</v>
      </c>
      <c r="N3" s="4" t="s">
        <v>39</v>
      </c>
      <c r="O3" s="4"/>
      <c r="P3" s="4"/>
      <c r="Q3" s="4" t="s">
        <v>46</v>
      </c>
      <c r="R3" s="4" t="s">
        <v>41</v>
      </c>
      <c r="S3" s="4" t="s">
        <v>42</v>
      </c>
      <c r="T3" s="4" t="s">
        <v>34</v>
      </c>
      <c r="U3" s="4" t="s">
        <v>34</v>
      </c>
      <c r="V3" s="4" t="s">
        <v>37</v>
      </c>
      <c r="W3" s="4" t="s">
        <v>47</v>
      </c>
      <c r="X3" s="4" t="s">
        <v>48</v>
      </c>
      <c r="Y3" s="3">
        <f t="shared" ref="Y3:Y52" si="0">YEAR(B3)</f>
        <v>2025</v>
      </c>
      <c r="Z3" s="3">
        <f t="shared" ref="Z3:Z52" si="1">MONTH(B3)</f>
        <v>6</v>
      </c>
      <c r="AA3" s="3" t="str">
        <f>IFERROR(VLOOKUP($Z3,[1]TABLAS!$A$1:$B$13,2,0),"ERROR")</f>
        <v>JUNIO</v>
      </c>
      <c r="AB3" s="3">
        <f t="shared" ref="AB3:AB52" si="2">DAY(B3)</f>
        <v>30</v>
      </c>
    </row>
    <row r="4" spans="1:28" ht="15" customHeight="1" x14ac:dyDescent="0.25">
      <c r="A4" s="4" t="s">
        <v>49</v>
      </c>
      <c r="B4" s="4" t="s">
        <v>50</v>
      </c>
      <c r="C4" s="4" t="s">
        <v>30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4">
        <v>175</v>
      </c>
      <c r="L4" s="4" t="s">
        <v>37</v>
      </c>
      <c r="M4" s="4" t="s">
        <v>38</v>
      </c>
      <c r="N4" s="4" t="s">
        <v>39</v>
      </c>
      <c r="O4" s="4"/>
      <c r="P4" s="4"/>
      <c r="Q4" s="4" t="s">
        <v>51</v>
      </c>
      <c r="R4" s="4" t="s">
        <v>41</v>
      </c>
      <c r="S4" s="4" t="s">
        <v>42</v>
      </c>
      <c r="T4" s="4" t="s">
        <v>34</v>
      </c>
      <c r="U4" s="4" t="s">
        <v>34</v>
      </c>
      <c r="V4" s="4" t="s">
        <v>37</v>
      </c>
      <c r="W4" s="4" t="s">
        <v>47</v>
      </c>
      <c r="X4" s="4" t="s">
        <v>52</v>
      </c>
      <c r="Y4" s="3">
        <f t="shared" si="0"/>
        <v>2025</v>
      </c>
      <c r="Z4" s="3">
        <f t="shared" si="1"/>
        <v>6</v>
      </c>
      <c r="AA4" s="3" t="str">
        <f>IFERROR(VLOOKUP($Z4,[1]TABLAS!$A$1:$B$13,2,0),"ERROR")</f>
        <v>JUNIO</v>
      </c>
      <c r="AB4" s="3">
        <f t="shared" si="2"/>
        <v>29</v>
      </c>
    </row>
    <row r="5" spans="1:28" ht="15" customHeight="1" x14ac:dyDescent="0.25">
      <c r="A5" s="4" t="s">
        <v>53</v>
      </c>
      <c r="B5" s="4" t="s">
        <v>54</v>
      </c>
      <c r="C5" s="4" t="s">
        <v>30</v>
      </c>
      <c r="D5" s="4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>
        <v>70</v>
      </c>
      <c r="L5" s="4" t="s">
        <v>37</v>
      </c>
      <c r="M5" s="4" t="s">
        <v>38</v>
      </c>
      <c r="N5" s="4" t="s">
        <v>39</v>
      </c>
      <c r="O5" s="4"/>
      <c r="P5" s="4"/>
      <c r="Q5" s="4" t="s">
        <v>55</v>
      </c>
      <c r="R5" s="4" t="s">
        <v>41</v>
      </c>
      <c r="S5" s="4" t="s">
        <v>42</v>
      </c>
      <c r="T5" s="4" t="s">
        <v>34</v>
      </c>
      <c r="U5" s="4" t="s">
        <v>34</v>
      </c>
      <c r="V5" s="4" t="s">
        <v>37</v>
      </c>
      <c r="W5" s="4" t="s">
        <v>47</v>
      </c>
      <c r="X5" s="4" t="s">
        <v>56</v>
      </c>
      <c r="Y5" s="3">
        <f t="shared" si="0"/>
        <v>2025</v>
      </c>
      <c r="Z5" s="3">
        <f t="shared" si="1"/>
        <v>6</v>
      </c>
      <c r="AA5" s="3" t="str">
        <f>IFERROR(VLOOKUP($Z5,[1]TABLAS!$A$1:$B$13,2,0),"ERROR")</f>
        <v>JUNIO</v>
      </c>
      <c r="AB5" s="3">
        <f t="shared" si="2"/>
        <v>28</v>
      </c>
    </row>
    <row r="6" spans="1:28" ht="15" customHeight="1" x14ac:dyDescent="0.25">
      <c r="A6" s="4" t="s">
        <v>57</v>
      </c>
      <c r="B6" s="4" t="s">
        <v>54</v>
      </c>
      <c r="C6" s="4" t="s">
        <v>30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>
        <v>150</v>
      </c>
      <c r="L6" s="4" t="s">
        <v>37</v>
      </c>
      <c r="M6" s="4" t="s">
        <v>38</v>
      </c>
      <c r="N6" s="4" t="s">
        <v>39</v>
      </c>
      <c r="O6" s="4"/>
      <c r="P6" s="4"/>
      <c r="Q6" s="4" t="s">
        <v>58</v>
      </c>
      <c r="R6" s="4" t="s">
        <v>41</v>
      </c>
      <c r="S6" s="4" t="s">
        <v>42</v>
      </c>
      <c r="T6" s="4" t="s">
        <v>34</v>
      </c>
      <c r="U6" s="4" t="s">
        <v>34</v>
      </c>
      <c r="V6" s="4" t="s">
        <v>37</v>
      </c>
      <c r="W6" s="4" t="s">
        <v>47</v>
      </c>
      <c r="X6" s="4" t="s">
        <v>59</v>
      </c>
      <c r="Y6" s="3">
        <f t="shared" si="0"/>
        <v>2025</v>
      </c>
      <c r="Z6" s="3">
        <f t="shared" si="1"/>
        <v>6</v>
      </c>
      <c r="AA6" s="3" t="str">
        <f>IFERROR(VLOOKUP($Z6,[1]TABLAS!$A$1:$B$13,2,0),"ERROR")</f>
        <v>JUNIO</v>
      </c>
      <c r="AB6" s="3">
        <f t="shared" si="2"/>
        <v>28</v>
      </c>
    </row>
    <row r="7" spans="1:28" ht="15" customHeight="1" x14ac:dyDescent="0.25">
      <c r="A7" s="4" t="s">
        <v>60</v>
      </c>
      <c r="B7" s="4" t="s">
        <v>54</v>
      </c>
      <c r="C7" s="4" t="s">
        <v>30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4" t="s">
        <v>36</v>
      </c>
      <c r="K7" s="4">
        <v>150</v>
      </c>
      <c r="L7" s="4" t="s">
        <v>37</v>
      </c>
      <c r="M7" s="4" t="s">
        <v>38</v>
      </c>
      <c r="N7" s="4" t="s">
        <v>39</v>
      </c>
      <c r="O7" s="4"/>
      <c r="P7" s="4"/>
      <c r="Q7" s="4" t="s">
        <v>58</v>
      </c>
      <c r="R7" s="4" t="s">
        <v>41</v>
      </c>
      <c r="S7" s="4" t="s">
        <v>42</v>
      </c>
      <c r="T7" s="4" t="s">
        <v>34</v>
      </c>
      <c r="U7" s="4" t="s">
        <v>34</v>
      </c>
      <c r="V7" s="4" t="s">
        <v>37</v>
      </c>
      <c r="W7" s="4" t="s">
        <v>47</v>
      </c>
      <c r="X7" s="4" t="s">
        <v>61</v>
      </c>
      <c r="Y7" s="3">
        <f t="shared" si="0"/>
        <v>2025</v>
      </c>
      <c r="Z7" s="3">
        <f t="shared" si="1"/>
        <v>6</v>
      </c>
      <c r="AA7" s="3" t="str">
        <f>IFERROR(VLOOKUP($Z7,[1]TABLAS!$A$1:$B$13,2,0),"ERROR")</f>
        <v>JUNIO</v>
      </c>
      <c r="AB7" s="3">
        <f t="shared" si="2"/>
        <v>28</v>
      </c>
    </row>
    <row r="8" spans="1:28" ht="15" customHeight="1" x14ac:dyDescent="0.25">
      <c r="A8" s="4" t="s">
        <v>62</v>
      </c>
      <c r="B8" s="4" t="s">
        <v>63</v>
      </c>
      <c r="C8" s="4" t="s">
        <v>30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34</v>
      </c>
      <c r="I8" s="4" t="s">
        <v>35</v>
      </c>
      <c r="J8" s="4" t="s">
        <v>36</v>
      </c>
      <c r="K8" s="4">
        <v>200</v>
      </c>
      <c r="L8" s="4" t="s">
        <v>37</v>
      </c>
      <c r="M8" s="4" t="s">
        <v>38</v>
      </c>
      <c r="N8" s="4" t="s">
        <v>39</v>
      </c>
      <c r="O8" s="4"/>
      <c r="P8" s="4"/>
      <c r="Q8" s="4" t="s">
        <v>64</v>
      </c>
      <c r="R8" s="4" t="s">
        <v>41</v>
      </c>
      <c r="S8" s="4" t="s">
        <v>42</v>
      </c>
      <c r="T8" s="4" t="s">
        <v>34</v>
      </c>
      <c r="U8" s="4" t="s">
        <v>34</v>
      </c>
      <c r="V8" s="4" t="s">
        <v>37</v>
      </c>
      <c r="W8" s="4" t="s">
        <v>47</v>
      </c>
      <c r="X8" s="4" t="s">
        <v>65</v>
      </c>
      <c r="Y8" s="3">
        <f t="shared" si="0"/>
        <v>2025</v>
      </c>
      <c r="Z8" s="3">
        <f t="shared" si="1"/>
        <v>6</v>
      </c>
      <c r="AA8" s="3" t="str">
        <f>IFERROR(VLOOKUP($Z8,[1]TABLAS!$A$1:$B$13,2,0),"ERROR")</f>
        <v>JUNIO</v>
      </c>
      <c r="AB8" s="3">
        <f t="shared" si="2"/>
        <v>27</v>
      </c>
    </row>
    <row r="9" spans="1:28" ht="15" customHeight="1" x14ac:dyDescent="0.25">
      <c r="A9" s="4" t="s">
        <v>66</v>
      </c>
      <c r="B9" s="4" t="s">
        <v>63</v>
      </c>
      <c r="C9" s="4" t="s">
        <v>30</v>
      </c>
      <c r="D9" s="4" t="s">
        <v>30</v>
      </c>
      <c r="E9" s="4" t="s">
        <v>31</v>
      </c>
      <c r="F9" s="4" t="s">
        <v>32</v>
      </c>
      <c r="G9" s="4" t="s">
        <v>33</v>
      </c>
      <c r="H9" s="4" t="s">
        <v>34</v>
      </c>
      <c r="I9" s="4" t="s">
        <v>35</v>
      </c>
      <c r="J9" s="4" t="s">
        <v>36</v>
      </c>
      <c r="K9" s="4">
        <v>100</v>
      </c>
      <c r="L9" s="4" t="s">
        <v>37</v>
      </c>
      <c r="M9" s="4" t="s">
        <v>38</v>
      </c>
      <c r="N9" s="4" t="s">
        <v>39</v>
      </c>
      <c r="O9" s="4"/>
      <c r="P9" s="4"/>
      <c r="Q9" s="4" t="s">
        <v>67</v>
      </c>
      <c r="R9" s="4" t="s">
        <v>41</v>
      </c>
      <c r="S9" s="4" t="s">
        <v>42</v>
      </c>
      <c r="T9" s="4" t="s">
        <v>34</v>
      </c>
      <c r="U9" s="4" t="s">
        <v>34</v>
      </c>
      <c r="V9" s="4" t="s">
        <v>37</v>
      </c>
      <c r="W9" s="4" t="s">
        <v>47</v>
      </c>
      <c r="X9" s="4" t="s">
        <v>68</v>
      </c>
      <c r="Y9" s="3">
        <f t="shared" si="0"/>
        <v>2025</v>
      </c>
      <c r="Z9" s="3">
        <f t="shared" si="1"/>
        <v>6</v>
      </c>
      <c r="AA9" s="3" t="str">
        <f>IFERROR(VLOOKUP($Z9,[1]TABLAS!$A$1:$B$13,2,0),"ERROR")</f>
        <v>JUNIO</v>
      </c>
      <c r="AB9" s="3">
        <f t="shared" si="2"/>
        <v>27</v>
      </c>
    </row>
    <row r="10" spans="1:28" ht="15" customHeight="1" x14ac:dyDescent="0.25">
      <c r="A10" s="4" t="s">
        <v>69</v>
      </c>
      <c r="B10" s="4" t="s">
        <v>70</v>
      </c>
      <c r="C10" s="4" t="s">
        <v>30</v>
      </c>
      <c r="D10" s="4" t="s">
        <v>30</v>
      </c>
      <c r="E10" s="4" t="s">
        <v>31</v>
      </c>
      <c r="F10" s="4" t="s">
        <v>32</v>
      </c>
      <c r="G10" s="4" t="s">
        <v>33</v>
      </c>
      <c r="H10" s="4" t="s">
        <v>34</v>
      </c>
      <c r="I10" s="4" t="s">
        <v>35</v>
      </c>
      <c r="J10" s="4" t="s">
        <v>36</v>
      </c>
      <c r="K10" s="4">
        <v>110</v>
      </c>
      <c r="L10" s="4" t="s">
        <v>37</v>
      </c>
      <c r="M10" s="4" t="s">
        <v>38</v>
      </c>
      <c r="N10" s="4" t="s">
        <v>39</v>
      </c>
      <c r="O10" s="4"/>
      <c r="P10" s="4"/>
      <c r="Q10" s="4" t="s">
        <v>71</v>
      </c>
      <c r="R10" s="4" t="s">
        <v>41</v>
      </c>
      <c r="S10" s="4" t="s">
        <v>42</v>
      </c>
      <c r="T10" s="4" t="s">
        <v>34</v>
      </c>
      <c r="U10" s="4" t="s">
        <v>34</v>
      </c>
      <c r="V10" s="4" t="s">
        <v>37</v>
      </c>
      <c r="W10" s="4" t="s">
        <v>47</v>
      </c>
      <c r="X10" s="4" t="s">
        <v>72</v>
      </c>
      <c r="Y10" s="3">
        <f t="shared" si="0"/>
        <v>2025</v>
      </c>
      <c r="Z10" s="3">
        <f t="shared" si="1"/>
        <v>6</v>
      </c>
      <c r="AA10" s="3" t="str">
        <f>IFERROR(VLOOKUP($Z10,[1]TABLAS!$A$1:$B$13,2,0),"ERROR")</f>
        <v>JUNIO</v>
      </c>
      <c r="AB10" s="3">
        <f t="shared" si="2"/>
        <v>26</v>
      </c>
    </row>
    <row r="11" spans="1:28" ht="15" customHeight="1" x14ac:dyDescent="0.25">
      <c r="A11" s="4" t="s">
        <v>73</v>
      </c>
      <c r="B11" s="4" t="s">
        <v>74</v>
      </c>
      <c r="C11" s="4" t="s">
        <v>30</v>
      </c>
      <c r="D11" s="4" t="s">
        <v>30</v>
      </c>
      <c r="E11" s="4" t="s">
        <v>31</v>
      </c>
      <c r="F11" s="4" t="s">
        <v>32</v>
      </c>
      <c r="G11" s="4" t="s">
        <v>33</v>
      </c>
      <c r="H11" s="4" t="s">
        <v>34</v>
      </c>
      <c r="I11" s="4" t="s">
        <v>35</v>
      </c>
      <c r="J11" s="4" t="s">
        <v>36</v>
      </c>
      <c r="K11" s="4">
        <v>100</v>
      </c>
      <c r="L11" s="4" t="s">
        <v>37</v>
      </c>
      <c r="M11" s="4" t="s">
        <v>38</v>
      </c>
      <c r="N11" s="4" t="s">
        <v>39</v>
      </c>
      <c r="O11" s="4"/>
      <c r="P11" s="4"/>
      <c r="Q11" s="4" t="s">
        <v>67</v>
      </c>
      <c r="R11" s="4" t="s">
        <v>41</v>
      </c>
      <c r="S11" s="4" t="s">
        <v>42</v>
      </c>
      <c r="T11" s="4" t="s">
        <v>34</v>
      </c>
      <c r="U11" s="4" t="s">
        <v>34</v>
      </c>
      <c r="V11" s="4" t="s">
        <v>37</v>
      </c>
      <c r="W11" s="4" t="s">
        <v>47</v>
      </c>
      <c r="X11" s="4" t="s">
        <v>75</v>
      </c>
      <c r="Y11" s="3">
        <f t="shared" si="0"/>
        <v>2025</v>
      </c>
      <c r="Z11" s="3">
        <f t="shared" si="1"/>
        <v>6</v>
      </c>
      <c r="AA11" s="3" t="str">
        <f>IFERROR(VLOOKUP($Z11,[1]TABLAS!$A$1:$B$13,2,0),"ERROR")</f>
        <v>JUNIO</v>
      </c>
      <c r="AB11" s="3">
        <f t="shared" si="2"/>
        <v>25</v>
      </c>
    </row>
    <row r="12" spans="1:28" ht="15" customHeight="1" x14ac:dyDescent="0.25">
      <c r="A12" s="4" t="s">
        <v>76</v>
      </c>
      <c r="B12" s="4" t="s">
        <v>77</v>
      </c>
      <c r="C12" s="4" t="s">
        <v>30</v>
      </c>
      <c r="D12" s="4" t="s">
        <v>30</v>
      </c>
      <c r="E12" s="4" t="s">
        <v>31</v>
      </c>
      <c r="F12" s="4" t="s">
        <v>32</v>
      </c>
      <c r="G12" s="4" t="s">
        <v>33</v>
      </c>
      <c r="H12" s="4" t="s">
        <v>34</v>
      </c>
      <c r="I12" s="4" t="s">
        <v>35</v>
      </c>
      <c r="J12" s="4" t="s">
        <v>36</v>
      </c>
      <c r="K12" s="4">
        <v>100</v>
      </c>
      <c r="L12" s="4" t="s">
        <v>37</v>
      </c>
      <c r="M12" s="4" t="s">
        <v>38</v>
      </c>
      <c r="N12" s="4" t="s">
        <v>39</v>
      </c>
      <c r="O12" s="4"/>
      <c r="P12" s="4"/>
      <c r="Q12" s="4" t="s">
        <v>67</v>
      </c>
      <c r="R12" s="4" t="s">
        <v>41</v>
      </c>
      <c r="S12" s="4" t="s">
        <v>42</v>
      </c>
      <c r="T12" s="4" t="s">
        <v>34</v>
      </c>
      <c r="U12" s="4" t="s">
        <v>34</v>
      </c>
      <c r="V12" s="4" t="s">
        <v>37</v>
      </c>
      <c r="W12" s="4" t="s">
        <v>47</v>
      </c>
      <c r="X12" s="4" t="s">
        <v>78</v>
      </c>
      <c r="Y12" s="3">
        <f t="shared" si="0"/>
        <v>2025</v>
      </c>
      <c r="Z12" s="3">
        <f t="shared" si="1"/>
        <v>6</v>
      </c>
      <c r="AA12" s="3" t="str">
        <f>IFERROR(VLOOKUP($Z12,[1]TABLAS!$A$1:$B$13,2,0),"ERROR")</f>
        <v>JUNIO</v>
      </c>
      <c r="AB12" s="3">
        <f t="shared" si="2"/>
        <v>23</v>
      </c>
    </row>
    <row r="13" spans="1:28" ht="15" customHeight="1" x14ac:dyDescent="0.25">
      <c r="A13" s="4" t="s">
        <v>79</v>
      </c>
      <c r="B13" s="4" t="s">
        <v>80</v>
      </c>
      <c r="C13" s="4" t="s">
        <v>30</v>
      </c>
      <c r="D13" s="4" t="s">
        <v>30</v>
      </c>
      <c r="E13" s="4" t="s">
        <v>31</v>
      </c>
      <c r="F13" s="4" t="s">
        <v>32</v>
      </c>
      <c r="G13" s="4" t="s">
        <v>33</v>
      </c>
      <c r="H13" s="4" t="s">
        <v>34</v>
      </c>
      <c r="I13" s="4" t="s">
        <v>35</v>
      </c>
      <c r="J13" s="4" t="s">
        <v>36</v>
      </c>
      <c r="K13" s="4">
        <v>35</v>
      </c>
      <c r="L13" s="4" t="s">
        <v>37</v>
      </c>
      <c r="M13" s="4" t="s">
        <v>38</v>
      </c>
      <c r="N13" s="4" t="s">
        <v>39</v>
      </c>
      <c r="O13" s="4"/>
      <c r="P13" s="4"/>
      <c r="Q13" s="4" t="s">
        <v>81</v>
      </c>
      <c r="R13" s="4" t="s">
        <v>41</v>
      </c>
      <c r="S13" s="4" t="s">
        <v>42</v>
      </c>
      <c r="T13" s="4" t="s">
        <v>80</v>
      </c>
      <c r="U13" s="4" t="s">
        <v>34</v>
      </c>
      <c r="V13" s="4" t="s">
        <v>37</v>
      </c>
      <c r="W13" s="4" t="s">
        <v>43</v>
      </c>
      <c r="X13" s="4" t="s">
        <v>82</v>
      </c>
      <c r="Y13" s="3">
        <f t="shared" si="0"/>
        <v>2025</v>
      </c>
      <c r="Z13" s="3">
        <f t="shared" si="1"/>
        <v>6</v>
      </c>
      <c r="AA13" s="3" t="str">
        <f>IFERROR(VLOOKUP($Z13,[1]TABLAS!$A$1:$B$13,2,0),"ERROR")</f>
        <v>JUNIO</v>
      </c>
      <c r="AB13" s="3">
        <f t="shared" si="2"/>
        <v>22</v>
      </c>
    </row>
    <row r="14" spans="1:28" ht="15" customHeight="1" x14ac:dyDescent="0.25">
      <c r="A14" s="4" t="s">
        <v>83</v>
      </c>
      <c r="B14" s="4" t="s">
        <v>80</v>
      </c>
      <c r="C14" s="4" t="s">
        <v>30</v>
      </c>
      <c r="D14" s="4" t="s">
        <v>30</v>
      </c>
      <c r="E14" s="4" t="s">
        <v>31</v>
      </c>
      <c r="F14" s="4" t="s">
        <v>32</v>
      </c>
      <c r="G14" s="4" t="s">
        <v>33</v>
      </c>
      <c r="H14" s="4" t="s">
        <v>34</v>
      </c>
      <c r="I14" s="4" t="s">
        <v>35</v>
      </c>
      <c r="J14" s="4" t="s">
        <v>36</v>
      </c>
      <c r="K14" s="4" t="s">
        <v>84</v>
      </c>
      <c r="L14" s="4" t="s">
        <v>37</v>
      </c>
      <c r="M14" s="4" t="s">
        <v>38</v>
      </c>
      <c r="N14" s="4" t="s">
        <v>39</v>
      </c>
      <c r="O14" s="4"/>
      <c r="P14" s="4"/>
      <c r="Q14" s="4" t="s">
        <v>84</v>
      </c>
      <c r="R14" s="4" t="s">
        <v>41</v>
      </c>
      <c r="S14" s="4" t="s">
        <v>85</v>
      </c>
      <c r="T14" s="4" t="s">
        <v>34</v>
      </c>
      <c r="U14" s="4" t="s">
        <v>86</v>
      </c>
      <c r="V14" s="4" t="s">
        <v>37</v>
      </c>
      <c r="W14" s="4" t="s">
        <v>47</v>
      </c>
      <c r="X14" s="4" t="s">
        <v>87</v>
      </c>
      <c r="Y14" s="3">
        <f t="shared" si="0"/>
        <v>2025</v>
      </c>
      <c r="Z14" s="3">
        <f t="shared" si="1"/>
        <v>6</v>
      </c>
      <c r="AA14" s="3" t="str">
        <f>IFERROR(VLOOKUP($Z14,[1]TABLAS!$A$1:$B$13,2,0),"ERROR")</f>
        <v>JUNIO</v>
      </c>
      <c r="AB14" s="3">
        <f t="shared" si="2"/>
        <v>22</v>
      </c>
    </row>
    <row r="15" spans="1:28" ht="15" customHeight="1" x14ac:dyDescent="0.25">
      <c r="A15" s="4" t="s">
        <v>86</v>
      </c>
      <c r="B15" s="4" t="s">
        <v>80</v>
      </c>
      <c r="C15" s="4" t="s">
        <v>30</v>
      </c>
      <c r="D15" s="4" t="s">
        <v>30</v>
      </c>
      <c r="E15" s="4" t="s">
        <v>31</v>
      </c>
      <c r="F15" s="4" t="s">
        <v>32</v>
      </c>
      <c r="G15" s="4" t="s">
        <v>33</v>
      </c>
      <c r="H15" s="4" t="s">
        <v>34</v>
      </c>
      <c r="I15" s="4" t="s">
        <v>35</v>
      </c>
      <c r="J15" s="4" t="s">
        <v>36</v>
      </c>
      <c r="K15" s="4" t="s">
        <v>81</v>
      </c>
      <c r="L15" s="4" t="s">
        <v>37</v>
      </c>
      <c r="M15" s="4" t="s">
        <v>38</v>
      </c>
      <c r="N15" s="4" t="s">
        <v>39</v>
      </c>
      <c r="O15" s="4"/>
      <c r="P15" s="4"/>
      <c r="Q15" s="4" t="s">
        <v>81</v>
      </c>
      <c r="R15" s="4" t="s">
        <v>41</v>
      </c>
      <c r="S15" s="4" t="s">
        <v>85</v>
      </c>
      <c r="T15" s="4" t="s">
        <v>34</v>
      </c>
      <c r="U15" s="4" t="s">
        <v>34</v>
      </c>
      <c r="V15" s="4" t="s">
        <v>81</v>
      </c>
      <c r="W15" s="4" t="s">
        <v>47</v>
      </c>
      <c r="X15" s="4" t="s">
        <v>87</v>
      </c>
      <c r="Y15" s="3">
        <f t="shared" si="0"/>
        <v>2025</v>
      </c>
      <c r="Z15" s="3">
        <f t="shared" si="1"/>
        <v>6</v>
      </c>
      <c r="AA15" s="3" t="str">
        <f>IFERROR(VLOOKUP($Z15,[1]TABLAS!$A$1:$B$13,2,0),"ERROR")</f>
        <v>JUNIO</v>
      </c>
      <c r="AB15" s="3">
        <f t="shared" si="2"/>
        <v>22</v>
      </c>
    </row>
    <row r="16" spans="1:28" ht="15" customHeight="1" x14ac:dyDescent="0.25">
      <c r="A16" s="4" t="s">
        <v>88</v>
      </c>
      <c r="B16" s="4" t="s">
        <v>80</v>
      </c>
      <c r="C16" s="4" t="s">
        <v>30</v>
      </c>
      <c r="D16" s="4" t="s">
        <v>30</v>
      </c>
      <c r="E16" s="4" t="s">
        <v>31</v>
      </c>
      <c r="F16" s="4" t="s">
        <v>32</v>
      </c>
      <c r="G16" s="4" t="s">
        <v>33</v>
      </c>
      <c r="H16" s="4" t="s">
        <v>34</v>
      </c>
      <c r="I16" s="4" t="s">
        <v>35</v>
      </c>
      <c r="J16" s="4" t="s">
        <v>36</v>
      </c>
      <c r="K16" s="4">
        <v>40</v>
      </c>
      <c r="L16" s="4" t="s">
        <v>37</v>
      </c>
      <c r="M16" s="4" t="s">
        <v>38</v>
      </c>
      <c r="N16" s="4" t="s">
        <v>39</v>
      </c>
      <c r="O16" s="4"/>
      <c r="P16" s="4"/>
      <c r="Q16" s="4" t="s">
        <v>89</v>
      </c>
      <c r="R16" s="4" t="s">
        <v>41</v>
      </c>
      <c r="S16" s="4" t="s">
        <v>42</v>
      </c>
      <c r="T16" s="4" t="s">
        <v>34</v>
      </c>
      <c r="U16" s="4" t="s">
        <v>34</v>
      </c>
      <c r="V16" s="4" t="s">
        <v>37</v>
      </c>
      <c r="W16" s="4" t="s">
        <v>47</v>
      </c>
      <c r="X16" s="4" t="s">
        <v>90</v>
      </c>
      <c r="Y16" s="3">
        <f t="shared" si="0"/>
        <v>2025</v>
      </c>
      <c r="Z16" s="3">
        <f t="shared" si="1"/>
        <v>6</v>
      </c>
      <c r="AA16" s="3" t="str">
        <f>IFERROR(VLOOKUP($Z16,[1]TABLAS!$A$1:$B$13,2,0),"ERROR")</f>
        <v>JUNIO</v>
      </c>
      <c r="AB16" s="3">
        <f t="shared" si="2"/>
        <v>22</v>
      </c>
    </row>
    <row r="17" spans="1:28" ht="15" customHeight="1" x14ac:dyDescent="0.25">
      <c r="A17" s="4" t="s">
        <v>91</v>
      </c>
      <c r="B17" s="4" t="s">
        <v>92</v>
      </c>
      <c r="C17" s="4" t="s">
        <v>30</v>
      </c>
      <c r="D17" s="4" t="s">
        <v>30</v>
      </c>
      <c r="E17" s="4" t="s">
        <v>31</v>
      </c>
      <c r="F17" s="4" t="s">
        <v>32</v>
      </c>
      <c r="G17" s="4" t="s">
        <v>33</v>
      </c>
      <c r="H17" s="4" t="s">
        <v>34</v>
      </c>
      <c r="I17" s="4" t="s">
        <v>35</v>
      </c>
      <c r="J17" s="4" t="s">
        <v>36</v>
      </c>
      <c r="K17" s="4">
        <v>15</v>
      </c>
      <c r="L17" s="4" t="s">
        <v>37</v>
      </c>
      <c r="M17" s="4" t="s">
        <v>38</v>
      </c>
      <c r="N17" s="4" t="s">
        <v>39</v>
      </c>
      <c r="O17" s="4"/>
      <c r="P17" s="4"/>
      <c r="Q17" s="4" t="s">
        <v>93</v>
      </c>
      <c r="R17" s="4" t="s">
        <v>41</v>
      </c>
      <c r="S17" s="4" t="s">
        <v>42</v>
      </c>
      <c r="T17" s="4" t="s">
        <v>34</v>
      </c>
      <c r="U17" s="4" t="s">
        <v>34</v>
      </c>
      <c r="V17" s="4" t="s">
        <v>37</v>
      </c>
      <c r="W17" s="4" t="s">
        <v>47</v>
      </c>
      <c r="X17" s="4" t="s">
        <v>94</v>
      </c>
      <c r="Y17" s="3">
        <f t="shared" si="0"/>
        <v>2025</v>
      </c>
      <c r="Z17" s="3">
        <f t="shared" si="1"/>
        <v>6</v>
      </c>
      <c r="AA17" s="3" t="str">
        <f>IFERROR(VLOOKUP($Z17,[1]TABLAS!$A$1:$B$13,2,0),"ERROR")</f>
        <v>JUNIO</v>
      </c>
      <c r="AB17" s="3">
        <f t="shared" si="2"/>
        <v>20</v>
      </c>
    </row>
    <row r="18" spans="1:28" ht="15" customHeight="1" x14ac:dyDescent="0.25">
      <c r="A18" s="4" t="s">
        <v>95</v>
      </c>
      <c r="B18" s="4" t="s">
        <v>96</v>
      </c>
      <c r="C18" s="4" t="s">
        <v>30</v>
      </c>
      <c r="D18" s="4" t="s">
        <v>30</v>
      </c>
      <c r="E18" s="4" t="s">
        <v>31</v>
      </c>
      <c r="F18" s="4" t="s">
        <v>32</v>
      </c>
      <c r="G18" s="4" t="s">
        <v>33</v>
      </c>
      <c r="H18" s="4" t="s">
        <v>34</v>
      </c>
      <c r="I18" s="4" t="s">
        <v>35</v>
      </c>
      <c r="J18" s="4" t="s">
        <v>36</v>
      </c>
      <c r="K18" s="4">
        <v>100</v>
      </c>
      <c r="L18" s="4" t="s">
        <v>37</v>
      </c>
      <c r="M18" s="4" t="s">
        <v>38</v>
      </c>
      <c r="N18" s="4" t="s">
        <v>39</v>
      </c>
      <c r="O18" s="4"/>
      <c r="P18" s="4"/>
      <c r="Q18" s="4" t="s">
        <v>67</v>
      </c>
      <c r="R18" s="4" t="s">
        <v>41</v>
      </c>
      <c r="S18" s="4" t="s">
        <v>42</v>
      </c>
      <c r="T18" s="4" t="s">
        <v>34</v>
      </c>
      <c r="U18" s="4" t="s">
        <v>34</v>
      </c>
      <c r="V18" s="4" t="s">
        <v>37</v>
      </c>
      <c r="W18" s="4" t="s">
        <v>47</v>
      </c>
      <c r="X18" s="4" t="s">
        <v>97</v>
      </c>
      <c r="Y18" s="3">
        <f t="shared" si="0"/>
        <v>2025</v>
      </c>
      <c r="Z18" s="3">
        <f t="shared" si="1"/>
        <v>6</v>
      </c>
      <c r="AA18" s="3" t="str">
        <f>IFERROR(VLOOKUP($Z18,[1]TABLAS!$A$1:$B$13,2,0),"ERROR")</f>
        <v>JUNIO</v>
      </c>
      <c r="AB18" s="3">
        <f t="shared" si="2"/>
        <v>18</v>
      </c>
    </row>
    <row r="19" spans="1:28" ht="15" customHeight="1" x14ac:dyDescent="0.25">
      <c r="A19" s="4" t="s">
        <v>98</v>
      </c>
      <c r="B19" s="4" t="s">
        <v>99</v>
      </c>
      <c r="C19" s="4" t="s">
        <v>30</v>
      </c>
      <c r="D19" s="4" t="s">
        <v>30</v>
      </c>
      <c r="E19" s="4" t="s">
        <v>31</v>
      </c>
      <c r="F19" s="4" t="s">
        <v>32</v>
      </c>
      <c r="G19" s="4" t="s">
        <v>33</v>
      </c>
      <c r="H19" s="4" t="s">
        <v>34</v>
      </c>
      <c r="I19" s="4" t="s">
        <v>35</v>
      </c>
      <c r="J19" s="4" t="s">
        <v>36</v>
      </c>
      <c r="K19" s="4">
        <v>3.34</v>
      </c>
      <c r="L19" s="4" t="s">
        <v>37</v>
      </c>
      <c r="M19" s="4" t="s">
        <v>38</v>
      </c>
      <c r="N19" s="4" t="s">
        <v>39</v>
      </c>
      <c r="O19" s="4"/>
      <c r="P19" s="4"/>
      <c r="Q19" s="4" t="s">
        <v>100</v>
      </c>
      <c r="R19" s="4" t="s">
        <v>41</v>
      </c>
      <c r="S19" s="4" t="s">
        <v>42</v>
      </c>
      <c r="T19" s="4" t="s">
        <v>34</v>
      </c>
      <c r="U19" s="4" t="s">
        <v>34</v>
      </c>
      <c r="V19" s="4" t="s">
        <v>37</v>
      </c>
      <c r="W19" s="4" t="s">
        <v>101</v>
      </c>
      <c r="X19" s="4" t="s">
        <v>102</v>
      </c>
      <c r="Y19" s="3">
        <f t="shared" si="0"/>
        <v>2025</v>
      </c>
      <c r="Z19" s="3">
        <f t="shared" si="1"/>
        <v>6</v>
      </c>
      <c r="AA19" s="3" t="str">
        <f>IFERROR(VLOOKUP($Z19,[1]TABLAS!$A$1:$B$13,2,0),"ERROR")</f>
        <v>JUNIO</v>
      </c>
      <c r="AB19" s="3">
        <f t="shared" si="2"/>
        <v>17</v>
      </c>
    </row>
    <row r="20" spans="1:28" ht="15" customHeight="1" x14ac:dyDescent="0.25">
      <c r="A20" s="4" t="s">
        <v>103</v>
      </c>
      <c r="B20" s="4" t="s">
        <v>99</v>
      </c>
      <c r="C20" s="4" t="s">
        <v>30</v>
      </c>
      <c r="D20" s="4" t="s">
        <v>30</v>
      </c>
      <c r="E20" s="4" t="s">
        <v>31</v>
      </c>
      <c r="F20" s="4" t="s">
        <v>32</v>
      </c>
      <c r="G20" s="4" t="s">
        <v>33</v>
      </c>
      <c r="H20" s="4" t="s">
        <v>34</v>
      </c>
      <c r="I20" s="4" t="s">
        <v>35</v>
      </c>
      <c r="J20" s="4" t="s">
        <v>36</v>
      </c>
      <c r="K20" s="4">
        <v>10</v>
      </c>
      <c r="L20" s="4" t="s">
        <v>37</v>
      </c>
      <c r="M20" s="4" t="s">
        <v>38</v>
      </c>
      <c r="N20" s="4" t="s">
        <v>39</v>
      </c>
      <c r="O20" s="4"/>
      <c r="P20" s="4"/>
      <c r="Q20" s="4" t="s">
        <v>104</v>
      </c>
      <c r="R20" s="4" t="s">
        <v>41</v>
      </c>
      <c r="S20" s="4" t="s">
        <v>42</v>
      </c>
      <c r="T20" s="4" t="s">
        <v>99</v>
      </c>
      <c r="U20" s="4" t="s">
        <v>34</v>
      </c>
      <c r="V20" s="4" t="s">
        <v>37</v>
      </c>
      <c r="W20" s="4" t="s">
        <v>43</v>
      </c>
      <c r="X20" s="4" t="s">
        <v>105</v>
      </c>
      <c r="Y20" s="3">
        <f t="shared" si="0"/>
        <v>2025</v>
      </c>
      <c r="Z20" s="3">
        <f t="shared" si="1"/>
        <v>6</v>
      </c>
      <c r="AA20" s="3" t="str">
        <f>IFERROR(VLOOKUP($Z20,[1]TABLAS!$A$1:$B$13,2,0),"ERROR")</f>
        <v>JUNIO</v>
      </c>
      <c r="AB20" s="3">
        <f t="shared" si="2"/>
        <v>17</v>
      </c>
    </row>
    <row r="21" spans="1:28" ht="15" customHeight="1" x14ac:dyDescent="0.25">
      <c r="A21" s="4" t="s">
        <v>106</v>
      </c>
      <c r="B21" s="4" t="s">
        <v>99</v>
      </c>
      <c r="C21" s="4" t="s">
        <v>30</v>
      </c>
      <c r="D21" s="4" t="s">
        <v>30</v>
      </c>
      <c r="E21" s="4" t="s">
        <v>31</v>
      </c>
      <c r="F21" s="4" t="s">
        <v>32</v>
      </c>
      <c r="G21" s="4" t="s">
        <v>33</v>
      </c>
      <c r="H21" s="4" t="s">
        <v>34</v>
      </c>
      <c r="I21" s="4" t="s">
        <v>35</v>
      </c>
      <c r="J21" s="4" t="s">
        <v>36</v>
      </c>
      <c r="K21" s="4" t="s">
        <v>104</v>
      </c>
      <c r="L21" s="4" t="s">
        <v>37</v>
      </c>
      <c r="M21" s="4" t="s">
        <v>38</v>
      </c>
      <c r="N21" s="4" t="s">
        <v>39</v>
      </c>
      <c r="O21" s="4"/>
      <c r="P21" s="4"/>
      <c r="Q21" s="4" t="s">
        <v>104</v>
      </c>
      <c r="R21" s="4" t="s">
        <v>41</v>
      </c>
      <c r="S21" s="4" t="s">
        <v>85</v>
      </c>
      <c r="T21" s="4" t="s">
        <v>34</v>
      </c>
      <c r="U21" s="4" t="s">
        <v>107</v>
      </c>
      <c r="V21" s="4" t="s">
        <v>37</v>
      </c>
      <c r="W21" s="4" t="s">
        <v>47</v>
      </c>
      <c r="X21" s="4" t="s">
        <v>108</v>
      </c>
      <c r="Y21" s="3">
        <f t="shared" si="0"/>
        <v>2025</v>
      </c>
      <c r="Z21" s="3">
        <f t="shared" si="1"/>
        <v>6</v>
      </c>
      <c r="AA21" s="3" t="str">
        <f>IFERROR(VLOOKUP($Z21,[1]TABLAS!$A$1:$B$13,2,0),"ERROR")</f>
        <v>JUNIO</v>
      </c>
      <c r="AB21" s="3">
        <f t="shared" si="2"/>
        <v>17</v>
      </c>
    </row>
    <row r="22" spans="1:28" ht="15" customHeight="1" x14ac:dyDescent="0.25">
      <c r="A22" s="4" t="s">
        <v>107</v>
      </c>
      <c r="B22" s="4" t="s">
        <v>99</v>
      </c>
      <c r="C22" s="4" t="s">
        <v>30</v>
      </c>
      <c r="D22" s="4" t="s">
        <v>30</v>
      </c>
      <c r="E22" s="4" t="s">
        <v>31</v>
      </c>
      <c r="F22" s="4" t="s">
        <v>32</v>
      </c>
      <c r="G22" s="4" t="s">
        <v>33</v>
      </c>
      <c r="H22" s="4" t="s">
        <v>34</v>
      </c>
      <c r="I22" s="4" t="s">
        <v>35</v>
      </c>
      <c r="J22" s="4" t="s">
        <v>36</v>
      </c>
      <c r="K22" s="4" t="s">
        <v>104</v>
      </c>
      <c r="L22" s="4" t="s">
        <v>37</v>
      </c>
      <c r="M22" s="4" t="s">
        <v>38</v>
      </c>
      <c r="N22" s="4" t="s">
        <v>39</v>
      </c>
      <c r="O22" s="4"/>
      <c r="P22" s="4"/>
      <c r="Q22" s="4" t="s">
        <v>104</v>
      </c>
      <c r="R22" s="4" t="s">
        <v>41</v>
      </c>
      <c r="S22" s="4" t="s">
        <v>85</v>
      </c>
      <c r="T22" s="4" t="s">
        <v>34</v>
      </c>
      <c r="U22" s="4" t="s">
        <v>34</v>
      </c>
      <c r="V22" s="4" t="s">
        <v>104</v>
      </c>
      <c r="W22" s="4" t="s">
        <v>47</v>
      </c>
      <c r="X22" s="4" t="s">
        <v>108</v>
      </c>
      <c r="Y22" s="3">
        <f t="shared" si="0"/>
        <v>2025</v>
      </c>
      <c r="Z22" s="3">
        <f t="shared" si="1"/>
        <v>6</v>
      </c>
      <c r="AA22" s="3" t="str">
        <f>IFERROR(VLOOKUP($Z22,[1]TABLAS!$A$1:$B$13,2,0),"ERROR")</f>
        <v>JUNIO</v>
      </c>
      <c r="AB22" s="3">
        <f t="shared" si="2"/>
        <v>17</v>
      </c>
    </row>
    <row r="23" spans="1:28" ht="15" customHeight="1" x14ac:dyDescent="0.25">
      <c r="A23" s="4" t="s">
        <v>109</v>
      </c>
      <c r="B23" s="4" t="s">
        <v>99</v>
      </c>
      <c r="C23" s="4" t="s">
        <v>30</v>
      </c>
      <c r="D23" s="4" t="s">
        <v>30</v>
      </c>
      <c r="E23" s="4" t="s">
        <v>31</v>
      </c>
      <c r="F23" s="4" t="s">
        <v>32</v>
      </c>
      <c r="G23" s="4" t="s">
        <v>33</v>
      </c>
      <c r="H23" s="4" t="s">
        <v>34</v>
      </c>
      <c r="I23" s="4" t="s">
        <v>35</v>
      </c>
      <c r="J23" s="4" t="s">
        <v>36</v>
      </c>
      <c r="K23" s="4">
        <v>20</v>
      </c>
      <c r="L23" s="4" t="s">
        <v>37</v>
      </c>
      <c r="M23" s="4" t="s">
        <v>38</v>
      </c>
      <c r="N23" s="4" t="s">
        <v>39</v>
      </c>
      <c r="O23" s="4"/>
      <c r="P23" s="4"/>
      <c r="Q23" s="4" t="s">
        <v>110</v>
      </c>
      <c r="R23" s="4" t="s">
        <v>41</v>
      </c>
      <c r="S23" s="4" t="s">
        <v>42</v>
      </c>
      <c r="T23" s="4" t="s">
        <v>34</v>
      </c>
      <c r="U23" s="4" t="s">
        <v>34</v>
      </c>
      <c r="V23" s="4" t="s">
        <v>37</v>
      </c>
      <c r="W23" s="4" t="s">
        <v>47</v>
      </c>
      <c r="X23" s="4" t="s">
        <v>111</v>
      </c>
      <c r="Y23" s="3">
        <f t="shared" si="0"/>
        <v>2025</v>
      </c>
      <c r="Z23" s="3">
        <f t="shared" si="1"/>
        <v>6</v>
      </c>
      <c r="AA23" s="3" t="str">
        <f>IFERROR(VLOOKUP($Z23,[1]TABLAS!$A$1:$B$13,2,0),"ERROR")</f>
        <v>JUNIO</v>
      </c>
      <c r="AB23" s="3">
        <f t="shared" si="2"/>
        <v>17</v>
      </c>
    </row>
    <row r="24" spans="1:28" ht="15" customHeight="1" x14ac:dyDescent="0.25">
      <c r="A24" s="4" t="s">
        <v>112</v>
      </c>
      <c r="B24" s="4" t="s">
        <v>99</v>
      </c>
      <c r="C24" s="4" t="s">
        <v>30</v>
      </c>
      <c r="D24" s="4" t="s">
        <v>30</v>
      </c>
      <c r="E24" s="4" t="s">
        <v>31</v>
      </c>
      <c r="F24" s="4" t="s">
        <v>32</v>
      </c>
      <c r="G24" s="4" t="s">
        <v>33</v>
      </c>
      <c r="H24" s="4" t="s">
        <v>34</v>
      </c>
      <c r="I24" s="4" t="s">
        <v>35</v>
      </c>
      <c r="J24" s="4" t="s">
        <v>36</v>
      </c>
      <c r="K24" s="4">
        <v>100</v>
      </c>
      <c r="L24" s="4" t="s">
        <v>37</v>
      </c>
      <c r="M24" s="4" t="s">
        <v>38</v>
      </c>
      <c r="N24" s="4" t="s">
        <v>39</v>
      </c>
      <c r="O24" s="4"/>
      <c r="P24" s="4"/>
      <c r="Q24" s="4" t="s">
        <v>67</v>
      </c>
      <c r="R24" s="4" t="s">
        <v>41</v>
      </c>
      <c r="S24" s="4" t="s">
        <v>42</v>
      </c>
      <c r="T24" s="4" t="s">
        <v>34</v>
      </c>
      <c r="U24" s="4" t="s">
        <v>34</v>
      </c>
      <c r="V24" s="4" t="s">
        <v>37</v>
      </c>
      <c r="W24" s="4" t="s">
        <v>47</v>
      </c>
      <c r="X24" s="4" t="s">
        <v>113</v>
      </c>
      <c r="Y24" s="3">
        <f t="shared" si="0"/>
        <v>2025</v>
      </c>
      <c r="Z24" s="3">
        <f t="shared" si="1"/>
        <v>6</v>
      </c>
      <c r="AA24" s="3" t="str">
        <f>IFERROR(VLOOKUP($Z24,[1]TABLAS!$A$1:$B$13,2,0),"ERROR")</f>
        <v>JUNIO</v>
      </c>
      <c r="AB24" s="3">
        <f t="shared" si="2"/>
        <v>17</v>
      </c>
    </row>
    <row r="25" spans="1:28" ht="15" customHeight="1" x14ac:dyDescent="0.25">
      <c r="A25" s="4" t="s">
        <v>114</v>
      </c>
      <c r="B25" s="4" t="s">
        <v>115</v>
      </c>
      <c r="C25" s="4" t="s">
        <v>30</v>
      </c>
      <c r="D25" s="4" t="s">
        <v>30</v>
      </c>
      <c r="E25" s="4" t="s">
        <v>31</v>
      </c>
      <c r="F25" s="4" t="s">
        <v>32</v>
      </c>
      <c r="G25" s="4" t="s">
        <v>33</v>
      </c>
      <c r="H25" s="4" t="s">
        <v>34</v>
      </c>
      <c r="I25" s="4" t="s">
        <v>35</v>
      </c>
      <c r="J25" s="4" t="s">
        <v>36</v>
      </c>
      <c r="K25" s="4">
        <v>20</v>
      </c>
      <c r="L25" s="4" t="s">
        <v>37</v>
      </c>
      <c r="M25" s="4" t="s">
        <v>38</v>
      </c>
      <c r="N25" s="4" t="s">
        <v>39</v>
      </c>
      <c r="O25" s="4"/>
      <c r="P25" s="4"/>
      <c r="Q25" s="4" t="s">
        <v>110</v>
      </c>
      <c r="R25" s="4" t="s">
        <v>41</v>
      </c>
      <c r="S25" s="4" t="s">
        <v>42</v>
      </c>
      <c r="T25" s="4" t="s">
        <v>34</v>
      </c>
      <c r="U25" s="4" t="s">
        <v>34</v>
      </c>
      <c r="V25" s="4" t="s">
        <v>37</v>
      </c>
      <c r="W25" s="4" t="s">
        <v>47</v>
      </c>
      <c r="X25" s="4" t="s">
        <v>116</v>
      </c>
      <c r="Y25" s="3">
        <f t="shared" si="0"/>
        <v>2025</v>
      </c>
      <c r="Z25" s="3">
        <f t="shared" si="1"/>
        <v>6</v>
      </c>
      <c r="AA25" s="3" t="str">
        <f>IFERROR(VLOOKUP($Z25,[1]TABLAS!$A$1:$B$13,2,0),"ERROR")</f>
        <v>JUNIO</v>
      </c>
      <c r="AB25" s="3">
        <f t="shared" si="2"/>
        <v>16</v>
      </c>
    </row>
    <row r="26" spans="1:28" ht="15" customHeight="1" x14ac:dyDescent="0.25">
      <c r="A26" s="4" t="s">
        <v>117</v>
      </c>
      <c r="B26" s="4" t="s">
        <v>118</v>
      </c>
      <c r="C26" s="4" t="s">
        <v>30</v>
      </c>
      <c r="D26" s="4" t="s">
        <v>30</v>
      </c>
      <c r="E26" s="4" t="s">
        <v>31</v>
      </c>
      <c r="F26" s="4" t="s">
        <v>32</v>
      </c>
      <c r="G26" s="4" t="s">
        <v>33</v>
      </c>
      <c r="H26" s="4" t="s">
        <v>34</v>
      </c>
      <c r="I26" s="4" t="s">
        <v>35</v>
      </c>
      <c r="J26" s="4" t="s">
        <v>36</v>
      </c>
      <c r="K26" s="4">
        <v>10</v>
      </c>
      <c r="L26" s="4" t="s">
        <v>37</v>
      </c>
      <c r="M26" s="4" t="s">
        <v>38</v>
      </c>
      <c r="N26" s="4" t="s">
        <v>39</v>
      </c>
      <c r="O26" s="4"/>
      <c r="P26" s="4"/>
      <c r="Q26" s="4" t="s">
        <v>104</v>
      </c>
      <c r="R26" s="4" t="s">
        <v>41</v>
      </c>
      <c r="S26" s="4" t="s">
        <v>42</v>
      </c>
      <c r="T26" s="4" t="s">
        <v>34</v>
      </c>
      <c r="U26" s="4" t="s">
        <v>34</v>
      </c>
      <c r="V26" s="4" t="s">
        <v>37</v>
      </c>
      <c r="W26" s="4" t="s">
        <v>47</v>
      </c>
      <c r="X26" s="4" t="s">
        <v>119</v>
      </c>
      <c r="Y26" s="3">
        <f t="shared" si="0"/>
        <v>2025</v>
      </c>
      <c r="Z26" s="3">
        <f t="shared" si="1"/>
        <v>6</v>
      </c>
      <c r="AA26" s="3" t="str">
        <f>IFERROR(VLOOKUP($Z26,[1]TABLAS!$A$1:$B$13,2,0),"ERROR")</f>
        <v>JUNIO</v>
      </c>
      <c r="AB26" s="3">
        <f t="shared" si="2"/>
        <v>15</v>
      </c>
    </row>
    <row r="27" spans="1:28" ht="15" customHeight="1" x14ac:dyDescent="0.25">
      <c r="A27" s="4" t="s">
        <v>120</v>
      </c>
      <c r="B27" s="4" t="s">
        <v>121</v>
      </c>
      <c r="C27" s="4" t="s">
        <v>30</v>
      </c>
      <c r="D27" s="4" t="s">
        <v>30</v>
      </c>
      <c r="E27" s="4" t="s">
        <v>31</v>
      </c>
      <c r="F27" s="4" t="s">
        <v>32</v>
      </c>
      <c r="G27" s="4" t="s">
        <v>33</v>
      </c>
      <c r="H27" s="4" t="s">
        <v>34</v>
      </c>
      <c r="I27" s="4" t="s">
        <v>35</v>
      </c>
      <c r="J27" s="4" t="s">
        <v>36</v>
      </c>
      <c r="K27" s="4">
        <v>10</v>
      </c>
      <c r="L27" s="4" t="s">
        <v>37</v>
      </c>
      <c r="M27" s="4" t="s">
        <v>38</v>
      </c>
      <c r="N27" s="4" t="s">
        <v>39</v>
      </c>
      <c r="O27" s="4"/>
      <c r="P27" s="4"/>
      <c r="Q27" s="4" t="s">
        <v>104</v>
      </c>
      <c r="R27" s="4" t="s">
        <v>41</v>
      </c>
      <c r="S27" s="4" t="s">
        <v>42</v>
      </c>
      <c r="T27" s="4" t="s">
        <v>34</v>
      </c>
      <c r="U27" s="4" t="s">
        <v>34</v>
      </c>
      <c r="V27" s="4" t="s">
        <v>37</v>
      </c>
      <c r="W27" s="4" t="s">
        <v>43</v>
      </c>
      <c r="X27" s="4" t="s">
        <v>122</v>
      </c>
      <c r="Y27" s="3">
        <f t="shared" si="0"/>
        <v>2025</v>
      </c>
      <c r="Z27" s="3">
        <f t="shared" si="1"/>
        <v>6</v>
      </c>
      <c r="AA27" s="3" t="str">
        <f>IFERROR(VLOOKUP($Z27,[1]TABLAS!$A$1:$B$13,2,0),"ERROR")</f>
        <v>JUNIO</v>
      </c>
      <c r="AB27" s="3">
        <f t="shared" si="2"/>
        <v>14</v>
      </c>
    </row>
    <row r="28" spans="1:28" ht="15" customHeight="1" x14ac:dyDescent="0.25">
      <c r="A28" s="4" t="s">
        <v>123</v>
      </c>
      <c r="B28" s="4" t="s">
        <v>121</v>
      </c>
      <c r="C28" s="4" t="s">
        <v>30</v>
      </c>
      <c r="D28" s="4" t="s">
        <v>30</v>
      </c>
      <c r="E28" s="4" t="s">
        <v>31</v>
      </c>
      <c r="F28" s="4" t="s">
        <v>32</v>
      </c>
      <c r="G28" s="4" t="s">
        <v>33</v>
      </c>
      <c r="H28" s="4" t="s">
        <v>34</v>
      </c>
      <c r="I28" s="4" t="s">
        <v>35</v>
      </c>
      <c r="J28" s="4" t="s">
        <v>36</v>
      </c>
      <c r="K28" s="4">
        <v>20</v>
      </c>
      <c r="L28" s="4" t="s">
        <v>37</v>
      </c>
      <c r="M28" s="4" t="s">
        <v>38</v>
      </c>
      <c r="N28" s="4" t="s">
        <v>39</v>
      </c>
      <c r="O28" s="4"/>
      <c r="P28" s="4"/>
      <c r="Q28" s="4" t="s">
        <v>110</v>
      </c>
      <c r="R28" s="4" t="s">
        <v>41</v>
      </c>
      <c r="S28" s="4" t="s">
        <v>42</v>
      </c>
      <c r="T28" s="4" t="s">
        <v>34</v>
      </c>
      <c r="U28" s="4" t="s">
        <v>34</v>
      </c>
      <c r="V28" s="4" t="s">
        <v>37</v>
      </c>
      <c r="W28" s="4" t="s">
        <v>47</v>
      </c>
      <c r="X28" s="4" t="s">
        <v>124</v>
      </c>
      <c r="Y28" s="3">
        <f t="shared" si="0"/>
        <v>2025</v>
      </c>
      <c r="Z28" s="3">
        <f t="shared" si="1"/>
        <v>6</v>
      </c>
      <c r="AA28" s="3" t="str">
        <f>IFERROR(VLOOKUP($Z28,[1]TABLAS!$A$1:$B$13,2,0),"ERROR")</f>
        <v>JUNIO</v>
      </c>
      <c r="AB28" s="3">
        <f t="shared" si="2"/>
        <v>14</v>
      </c>
    </row>
    <row r="29" spans="1:28" ht="15" customHeight="1" x14ac:dyDescent="0.25">
      <c r="A29" s="4" t="s">
        <v>125</v>
      </c>
      <c r="B29" s="4" t="s">
        <v>126</v>
      </c>
      <c r="C29" s="4" t="s">
        <v>30</v>
      </c>
      <c r="D29" s="4" t="s">
        <v>30</v>
      </c>
      <c r="E29" s="4" t="s">
        <v>31</v>
      </c>
      <c r="F29" s="4" t="s">
        <v>32</v>
      </c>
      <c r="G29" s="4" t="s">
        <v>33</v>
      </c>
      <c r="H29" s="4" t="s">
        <v>34</v>
      </c>
      <c r="I29" s="4" t="s">
        <v>35</v>
      </c>
      <c r="J29" s="4" t="s">
        <v>36</v>
      </c>
      <c r="K29" s="4">
        <v>16</v>
      </c>
      <c r="L29" s="4" t="s">
        <v>37</v>
      </c>
      <c r="M29" s="4" t="s">
        <v>38</v>
      </c>
      <c r="N29" s="4" t="s">
        <v>39</v>
      </c>
      <c r="O29" s="4"/>
      <c r="P29" s="4"/>
      <c r="Q29" s="4" t="s">
        <v>127</v>
      </c>
      <c r="R29" s="4" t="s">
        <v>41</v>
      </c>
      <c r="S29" s="4" t="s">
        <v>42</v>
      </c>
      <c r="T29" s="4" t="s">
        <v>34</v>
      </c>
      <c r="U29" s="4" t="s">
        <v>34</v>
      </c>
      <c r="V29" s="4" t="s">
        <v>37</v>
      </c>
      <c r="W29" s="4" t="s">
        <v>47</v>
      </c>
      <c r="X29" s="4" t="s">
        <v>128</v>
      </c>
      <c r="Y29" s="3">
        <f t="shared" si="0"/>
        <v>2025</v>
      </c>
      <c r="Z29" s="3">
        <f t="shared" si="1"/>
        <v>6</v>
      </c>
      <c r="AA29" s="3" t="str">
        <f>IFERROR(VLOOKUP($Z29,[1]TABLAS!$A$1:$B$13,2,0),"ERROR")</f>
        <v>JUNIO</v>
      </c>
      <c r="AB29" s="3">
        <f t="shared" si="2"/>
        <v>13</v>
      </c>
    </row>
    <row r="30" spans="1:28" ht="15" customHeight="1" x14ac:dyDescent="0.25">
      <c r="A30" s="4" t="s">
        <v>129</v>
      </c>
      <c r="B30" s="4" t="s">
        <v>130</v>
      </c>
      <c r="C30" s="4" t="s">
        <v>30</v>
      </c>
      <c r="D30" s="4" t="s">
        <v>30</v>
      </c>
      <c r="E30" s="4" t="s">
        <v>31</v>
      </c>
      <c r="F30" s="4" t="s">
        <v>32</v>
      </c>
      <c r="G30" s="4" t="s">
        <v>33</v>
      </c>
      <c r="H30" s="4" t="s">
        <v>34</v>
      </c>
      <c r="I30" s="4" t="s">
        <v>35</v>
      </c>
      <c r="J30" s="4" t="s">
        <v>36</v>
      </c>
      <c r="K30" s="4">
        <v>20</v>
      </c>
      <c r="L30" s="4" t="s">
        <v>37</v>
      </c>
      <c r="M30" s="4" t="s">
        <v>38</v>
      </c>
      <c r="N30" s="4" t="s">
        <v>39</v>
      </c>
      <c r="O30" s="4"/>
      <c r="P30" s="4"/>
      <c r="Q30" s="4" t="s">
        <v>110</v>
      </c>
      <c r="R30" s="4" t="s">
        <v>41</v>
      </c>
      <c r="S30" s="4" t="s">
        <v>42</v>
      </c>
      <c r="T30" s="4" t="s">
        <v>34</v>
      </c>
      <c r="U30" s="4" t="s">
        <v>34</v>
      </c>
      <c r="V30" s="4" t="s">
        <v>37</v>
      </c>
      <c r="W30" s="4" t="s">
        <v>47</v>
      </c>
      <c r="X30" s="4" t="s">
        <v>131</v>
      </c>
      <c r="Y30" s="3">
        <f t="shared" si="0"/>
        <v>2025</v>
      </c>
      <c r="Z30" s="3">
        <f t="shared" si="1"/>
        <v>6</v>
      </c>
      <c r="AA30" s="3" t="str">
        <f>IFERROR(VLOOKUP($Z30,[1]TABLAS!$A$1:$B$13,2,0),"ERROR")</f>
        <v>JUNIO</v>
      </c>
      <c r="AB30" s="3">
        <f t="shared" si="2"/>
        <v>12</v>
      </c>
    </row>
    <row r="31" spans="1:28" ht="15" customHeight="1" x14ac:dyDescent="0.25">
      <c r="A31" s="4" t="s">
        <v>132</v>
      </c>
      <c r="B31" s="4" t="s">
        <v>133</v>
      </c>
      <c r="C31" s="4" t="s">
        <v>30</v>
      </c>
      <c r="D31" s="4" t="s">
        <v>30</v>
      </c>
      <c r="E31" s="4" t="s">
        <v>31</v>
      </c>
      <c r="F31" s="4" t="s">
        <v>32</v>
      </c>
      <c r="G31" s="4" t="s">
        <v>33</v>
      </c>
      <c r="H31" s="4" t="s">
        <v>34</v>
      </c>
      <c r="I31" s="4" t="s">
        <v>35</v>
      </c>
      <c r="J31" s="4" t="s">
        <v>36</v>
      </c>
      <c r="K31" s="4">
        <v>10</v>
      </c>
      <c r="L31" s="4" t="s">
        <v>37</v>
      </c>
      <c r="M31" s="4" t="s">
        <v>38</v>
      </c>
      <c r="N31" s="4" t="s">
        <v>39</v>
      </c>
      <c r="O31" s="4"/>
      <c r="P31" s="4"/>
      <c r="Q31" s="4" t="s">
        <v>104</v>
      </c>
      <c r="R31" s="4" t="s">
        <v>41</v>
      </c>
      <c r="S31" s="4" t="s">
        <v>42</v>
      </c>
      <c r="T31" s="4" t="s">
        <v>34</v>
      </c>
      <c r="U31" s="4" t="s">
        <v>34</v>
      </c>
      <c r="V31" s="4" t="s">
        <v>37</v>
      </c>
      <c r="W31" s="4" t="s">
        <v>47</v>
      </c>
      <c r="X31" s="4" t="s">
        <v>134</v>
      </c>
      <c r="Y31" s="3">
        <f t="shared" si="0"/>
        <v>2025</v>
      </c>
      <c r="Z31" s="3">
        <f t="shared" si="1"/>
        <v>6</v>
      </c>
      <c r="AA31" s="3" t="str">
        <f>IFERROR(VLOOKUP($Z31,[1]TABLAS!$A$1:$B$13,2,0),"ERROR")</f>
        <v>JUNIO</v>
      </c>
      <c r="AB31" s="3">
        <f t="shared" si="2"/>
        <v>11</v>
      </c>
    </row>
    <row r="32" spans="1:28" ht="15" customHeight="1" x14ac:dyDescent="0.25">
      <c r="A32" s="4" t="s">
        <v>135</v>
      </c>
      <c r="B32" s="4" t="s">
        <v>133</v>
      </c>
      <c r="C32" s="4" t="s">
        <v>30</v>
      </c>
      <c r="D32" s="4" t="s">
        <v>30</v>
      </c>
      <c r="E32" s="4" t="s">
        <v>31</v>
      </c>
      <c r="F32" s="4" t="s">
        <v>32</v>
      </c>
      <c r="G32" s="4" t="s">
        <v>33</v>
      </c>
      <c r="H32" s="4" t="s">
        <v>34</v>
      </c>
      <c r="I32" s="4" t="s">
        <v>35</v>
      </c>
      <c r="J32" s="4" t="s">
        <v>36</v>
      </c>
      <c r="K32" s="4">
        <v>4.5199999999999996</v>
      </c>
      <c r="L32" s="4" t="s">
        <v>37</v>
      </c>
      <c r="M32" s="4" t="s">
        <v>38</v>
      </c>
      <c r="N32" s="4" t="s">
        <v>39</v>
      </c>
      <c r="O32" s="4"/>
      <c r="P32" s="4"/>
      <c r="Q32" s="4" t="s">
        <v>136</v>
      </c>
      <c r="R32" s="4" t="s">
        <v>41</v>
      </c>
      <c r="S32" s="4" t="s">
        <v>42</v>
      </c>
      <c r="T32" s="4" t="s">
        <v>34</v>
      </c>
      <c r="U32" s="4" t="s">
        <v>34</v>
      </c>
      <c r="V32" s="4" t="s">
        <v>37</v>
      </c>
      <c r="W32" s="4" t="s">
        <v>101</v>
      </c>
      <c r="X32" s="4" t="s">
        <v>137</v>
      </c>
      <c r="Y32" s="3">
        <f t="shared" si="0"/>
        <v>2025</v>
      </c>
      <c r="Z32" s="3">
        <f t="shared" si="1"/>
        <v>6</v>
      </c>
      <c r="AA32" s="3" t="str">
        <f>IFERROR(VLOOKUP($Z32,[1]TABLAS!$A$1:$B$13,2,0),"ERROR")</f>
        <v>JUNIO</v>
      </c>
      <c r="AB32" s="3">
        <f t="shared" si="2"/>
        <v>11</v>
      </c>
    </row>
    <row r="33" spans="1:28" ht="15" customHeight="1" x14ac:dyDescent="0.25">
      <c r="A33" s="4" t="s">
        <v>138</v>
      </c>
      <c r="B33" s="4" t="s">
        <v>133</v>
      </c>
      <c r="C33" s="4" t="s">
        <v>30</v>
      </c>
      <c r="D33" s="4" t="s">
        <v>30</v>
      </c>
      <c r="E33" s="4" t="s">
        <v>31</v>
      </c>
      <c r="F33" s="4" t="s">
        <v>32</v>
      </c>
      <c r="G33" s="4" t="s">
        <v>33</v>
      </c>
      <c r="H33" s="4" t="s">
        <v>34</v>
      </c>
      <c r="I33" s="4" t="s">
        <v>35</v>
      </c>
      <c r="J33" s="4" t="s">
        <v>36</v>
      </c>
      <c r="K33" s="4">
        <v>24</v>
      </c>
      <c r="L33" s="4" t="s">
        <v>37</v>
      </c>
      <c r="M33" s="4" t="s">
        <v>38</v>
      </c>
      <c r="N33" s="4" t="s">
        <v>39</v>
      </c>
      <c r="O33" s="4"/>
      <c r="P33" s="4"/>
      <c r="Q33" s="4" t="s">
        <v>139</v>
      </c>
      <c r="R33" s="4" t="s">
        <v>41</v>
      </c>
      <c r="S33" s="4" t="s">
        <v>42</v>
      </c>
      <c r="T33" s="4" t="s">
        <v>34</v>
      </c>
      <c r="U33" s="4" t="s">
        <v>34</v>
      </c>
      <c r="V33" s="4" t="s">
        <v>37</v>
      </c>
      <c r="W33" s="4" t="s">
        <v>47</v>
      </c>
      <c r="X33" s="4" t="s">
        <v>140</v>
      </c>
      <c r="Y33" s="3">
        <f t="shared" si="0"/>
        <v>2025</v>
      </c>
      <c r="Z33" s="3">
        <f t="shared" si="1"/>
        <v>6</v>
      </c>
      <c r="AA33" s="3" t="str">
        <f>IFERROR(VLOOKUP($Z33,[1]TABLAS!$A$1:$B$13,2,0),"ERROR")</f>
        <v>JUNIO</v>
      </c>
      <c r="AB33" s="3">
        <f t="shared" si="2"/>
        <v>11</v>
      </c>
    </row>
    <row r="34" spans="1:28" ht="15" customHeight="1" x14ac:dyDescent="0.25">
      <c r="A34" s="4" t="s">
        <v>141</v>
      </c>
      <c r="B34" s="4" t="s">
        <v>142</v>
      </c>
      <c r="C34" s="4" t="s">
        <v>30</v>
      </c>
      <c r="D34" s="4" t="s">
        <v>30</v>
      </c>
      <c r="E34" s="4" t="s">
        <v>31</v>
      </c>
      <c r="F34" s="4" t="s">
        <v>32</v>
      </c>
      <c r="G34" s="4" t="s">
        <v>33</v>
      </c>
      <c r="H34" s="4" t="s">
        <v>34</v>
      </c>
      <c r="I34" s="4" t="s">
        <v>35</v>
      </c>
      <c r="J34" s="4" t="s">
        <v>36</v>
      </c>
      <c r="K34" s="4">
        <v>10</v>
      </c>
      <c r="L34" s="4" t="s">
        <v>37</v>
      </c>
      <c r="M34" s="4" t="s">
        <v>38</v>
      </c>
      <c r="N34" s="4" t="s">
        <v>39</v>
      </c>
      <c r="O34" s="4"/>
      <c r="P34" s="4"/>
      <c r="Q34" s="4" t="s">
        <v>104</v>
      </c>
      <c r="R34" s="4" t="s">
        <v>41</v>
      </c>
      <c r="S34" s="4" t="s">
        <v>42</v>
      </c>
      <c r="T34" s="4" t="s">
        <v>34</v>
      </c>
      <c r="U34" s="4" t="s">
        <v>34</v>
      </c>
      <c r="V34" s="4" t="s">
        <v>37</v>
      </c>
      <c r="W34" s="4" t="s">
        <v>47</v>
      </c>
      <c r="X34" s="4" t="s">
        <v>143</v>
      </c>
      <c r="Y34" s="3">
        <f t="shared" si="0"/>
        <v>2025</v>
      </c>
      <c r="Z34" s="3">
        <f t="shared" si="1"/>
        <v>6</v>
      </c>
      <c r="AA34" s="3" t="str">
        <f>IFERROR(VLOOKUP($Z34,[1]TABLAS!$A$1:$B$13,2,0),"ERROR")</f>
        <v>JUNIO</v>
      </c>
      <c r="AB34" s="3">
        <f t="shared" si="2"/>
        <v>10</v>
      </c>
    </row>
    <row r="35" spans="1:28" ht="15" customHeight="1" x14ac:dyDescent="0.25">
      <c r="A35" s="4" t="s">
        <v>144</v>
      </c>
      <c r="B35" s="4" t="s">
        <v>142</v>
      </c>
      <c r="C35" s="4" t="s">
        <v>30</v>
      </c>
      <c r="D35" s="4" t="s">
        <v>30</v>
      </c>
      <c r="E35" s="4" t="s">
        <v>31</v>
      </c>
      <c r="F35" s="4" t="s">
        <v>32</v>
      </c>
      <c r="G35" s="4" t="s">
        <v>33</v>
      </c>
      <c r="H35" s="4" t="s">
        <v>34</v>
      </c>
      <c r="I35" s="4" t="s">
        <v>35</v>
      </c>
      <c r="J35" s="4" t="s">
        <v>36</v>
      </c>
      <c r="K35" s="4">
        <v>20</v>
      </c>
      <c r="L35" s="4" t="s">
        <v>37</v>
      </c>
      <c r="M35" s="4" t="s">
        <v>38</v>
      </c>
      <c r="N35" s="4" t="s">
        <v>39</v>
      </c>
      <c r="O35" s="4"/>
      <c r="P35" s="4"/>
      <c r="Q35" s="4" t="s">
        <v>110</v>
      </c>
      <c r="R35" s="4" t="s">
        <v>41</v>
      </c>
      <c r="S35" s="4" t="s">
        <v>42</v>
      </c>
      <c r="T35" s="4" t="s">
        <v>34</v>
      </c>
      <c r="U35" s="4" t="s">
        <v>34</v>
      </c>
      <c r="V35" s="4" t="s">
        <v>37</v>
      </c>
      <c r="W35" s="4" t="s">
        <v>47</v>
      </c>
      <c r="X35" s="4" t="s">
        <v>145</v>
      </c>
      <c r="Y35" s="3">
        <f t="shared" si="0"/>
        <v>2025</v>
      </c>
      <c r="Z35" s="3">
        <f t="shared" si="1"/>
        <v>6</v>
      </c>
      <c r="AA35" s="3" t="str">
        <f>IFERROR(VLOOKUP($Z35,[1]TABLAS!$A$1:$B$13,2,0),"ERROR")</f>
        <v>JUNIO</v>
      </c>
      <c r="AB35" s="3">
        <f t="shared" si="2"/>
        <v>10</v>
      </c>
    </row>
    <row r="36" spans="1:28" ht="15" customHeight="1" x14ac:dyDescent="0.25">
      <c r="A36" s="4" t="s">
        <v>146</v>
      </c>
      <c r="B36" s="4" t="s">
        <v>142</v>
      </c>
      <c r="C36" s="4" t="s">
        <v>30</v>
      </c>
      <c r="D36" s="4" t="s">
        <v>30</v>
      </c>
      <c r="E36" s="4" t="s">
        <v>31</v>
      </c>
      <c r="F36" s="4" t="s">
        <v>32</v>
      </c>
      <c r="G36" s="4" t="s">
        <v>33</v>
      </c>
      <c r="H36" s="4" t="s">
        <v>34</v>
      </c>
      <c r="I36" s="4" t="s">
        <v>35</v>
      </c>
      <c r="J36" s="4" t="s">
        <v>36</v>
      </c>
      <c r="K36" s="4">
        <v>15</v>
      </c>
      <c r="L36" s="4" t="s">
        <v>37</v>
      </c>
      <c r="M36" s="4" t="s">
        <v>38</v>
      </c>
      <c r="N36" s="4" t="s">
        <v>39</v>
      </c>
      <c r="O36" s="4"/>
      <c r="P36" s="4"/>
      <c r="Q36" s="4" t="s">
        <v>93</v>
      </c>
      <c r="R36" s="4" t="s">
        <v>41</v>
      </c>
      <c r="S36" s="4" t="s">
        <v>42</v>
      </c>
      <c r="T36" s="4" t="s">
        <v>34</v>
      </c>
      <c r="U36" s="4" t="s">
        <v>34</v>
      </c>
      <c r="V36" s="4" t="s">
        <v>37</v>
      </c>
      <c r="W36" s="4" t="s">
        <v>47</v>
      </c>
      <c r="X36" s="4" t="s">
        <v>147</v>
      </c>
      <c r="Y36" s="3">
        <f t="shared" si="0"/>
        <v>2025</v>
      </c>
      <c r="Z36" s="3">
        <f t="shared" si="1"/>
        <v>6</v>
      </c>
      <c r="AA36" s="3" t="str">
        <f>IFERROR(VLOOKUP($Z36,[1]TABLAS!$A$1:$B$13,2,0),"ERROR")</f>
        <v>JUNIO</v>
      </c>
      <c r="AB36" s="3">
        <f t="shared" si="2"/>
        <v>10</v>
      </c>
    </row>
    <row r="37" spans="1:28" ht="15" customHeight="1" x14ac:dyDescent="0.25">
      <c r="A37" s="4" t="s">
        <v>148</v>
      </c>
      <c r="B37" s="4" t="s">
        <v>149</v>
      </c>
      <c r="C37" s="4" t="s">
        <v>30</v>
      </c>
      <c r="D37" s="4" t="s">
        <v>30</v>
      </c>
      <c r="E37" s="4" t="s">
        <v>31</v>
      </c>
      <c r="F37" s="4" t="s">
        <v>32</v>
      </c>
      <c r="G37" s="4" t="s">
        <v>33</v>
      </c>
      <c r="H37" s="4" t="s">
        <v>34</v>
      </c>
      <c r="I37" s="4" t="s">
        <v>35</v>
      </c>
      <c r="J37" s="4" t="s">
        <v>36</v>
      </c>
      <c r="K37" s="4">
        <v>10</v>
      </c>
      <c r="L37" s="4" t="s">
        <v>37</v>
      </c>
      <c r="M37" s="4" t="s">
        <v>38</v>
      </c>
      <c r="N37" s="4" t="s">
        <v>39</v>
      </c>
      <c r="O37" s="4"/>
      <c r="P37" s="4"/>
      <c r="Q37" s="4" t="s">
        <v>104</v>
      </c>
      <c r="R37" s="4" t="s">
        <v>41</v>
      </c>
      <c r="S37" s="4" t="s">
        <v>42</v>
      </c>
      <c r="T37" s="4" t="s">
        <v>34</v>
      </c>
      <c r="U37" s="4" t="s">
        <v>34</v>
      </c>
      <c r="V37" s="4" t="s">
        <v>37</v>
      </c>
      <c r="W37" s="4" t="s">
        <v>47</v>
      </c>
      <c r="X37" s="4" t="s">
        <v>150</v>
      </c>
      <c r="Y37" s="3">
        <f t="shared" si="0"/>
        <v>2025</v>
      </c>
      <c r="Z37" s="3">
        <f t="shared" si="1"/>
        <v>6</v>
      </c>
      <c r="AA37" s="3" t="str">
        <f>IFERROR(VLOOKUP($Z37,[1]TABLAS!$A$1:$B$13,2,0),"ERROR")</f>
        <v>JUNIO</v>
      </c>
      <c r="AB37" s="3">
        <f t="shared" si="2"/>
        <v>8</v>
      </c>
    </row>
    <row r="38" spans="1:28" ht="15" customHeight="1" x14ac:dyDescent="0.25">
      <c r="A38" s="4" t="s">
        <v>151</v>
      </c>
      <c r="B38" s="4" t="s">
        <v>152</v>
      </c>
      <c r="C38" s="4" t="s">
        <v>30</v>
      </c>
      <c r="D38" s="4" t="s">
        <v>30</v>
      </c>
      <c r="E38" s="4" t="s">
        <v>31</v>
      </c>
      <c r="F38" s="4" t="s">
        <v>32</v>
      </c>
      <c r="G38" s="4" t="s">
        <v>33</v>
      </c>
      <c r="H38" s="4" t="s">
        <v>34</v>
      </c>
      <c r="I38" s="4" t="s">
        <v>35</v>
      </c>
      <c r="J38" s="4" t="s">
        <v>36</v>
      </c>
      <c r="K38" s="4">
        <v>20</v>
      </c>
      <c r="L38" s="4" t="s">
        <v>37</v>
      </c>
      <c r="M38" s="4" t="s">
        <v>38</v>
      </c>
      <c r="N38" s="4" t="s">
        <v>39</v>
      </c>
      <c r="O38" s="4"/>
      <c r="P38" s="4"/>
      <c r="Q38" s="4" t="s">
        <v>110</v>
      </c>
      <c r="R38" s="4" t="s">
        <v>41</v>
      </c>
      <c r="S38" s="4" t="s">
        <v>42</v>
      </c>
      <c r="T38" s="4" t="s">
        <v>34</v>
      </c>
      <c r="U38" s="4" t="s">
        <v>34</v>
      </c>
      <c r="V38" s="4" t="s">
        <v>37</v>
      </c>
      <c r="W38" s="4" t="s">
        <v>47</v>
      </c>
      <c r="X38" s="4" t="s">
        <v>153</v>
      </c>
      <c r="Y38" s="3">
        <f t="shared" si="0"/>
        <v>2025</v>
      </c>
      <c r="Z38" s="3">
        <f t="shared" si="1"/>
        <v>6</v>
      </c>
      <c r="AA38" s="3" t="str">
        <f>IFERROR(VLOOKUP($Z38,[1]TABLAS!$A$1:$B$13,2,0),"ERROR")</f>
        <v>JUNIO</v>
      </c>
      <c r="AB38" s="3">
        <f t="shared" si="2"/>
        <v>6</v>
      </c>
    </row>
    <row r="39" spans="1:28" ht="15" customHeight="1" x14ac:dyDescent="0.25">
      <c r="A39" s="4" t="s">
        <v>154</v>
      </c>
      <c r="B39" s="4" t="s">
        <v>155</v>
      </c>
      <c r="C39" s="4" t="s">
        <v>30</v>
      </c>
      <c r="D39" s="4" t="s">
        <v>30</v>
      </c>
      <c r="E39" s="4" t="s">
        <v>31</v>
      </c>
      <c r="F39" s="4" t="s">
        <v>32</v>
      </c>
      <c r="G39" s="4" t="s">
        <v>33</v>
      </c>
      <c r="H39" s="4" t="s">
        <v>34</v>
      </c>
      <c r="I39" s="4" t="s">
        <v>35</v>
      </c>
      <c r="J39" s="4" t="s">
        <v>36</v>
      </c>
      <c r="K39" s="4">
        <v>10</v>
      </c>
      <c r="L39" s="4" t="s">
        <v>37</v>
      </c>
      <c r="M39" s="4" t="s">
        <v>38</v>
      </c>
      <c r="N39" s="4" t="s">
        <v>39</v>
      </c>
      <c r="O39" s="4"/>
      <c r="P39" s="4"/>
      <c r="Q39" s="4" t="s">
        <v>104</v>
      </c>
      <c r="R39" s="4" t="s">
        <v>41</v>
      </c>
      <c r="S39" s="4" t="s">
        <v>42</v>
      </c>
      <c r="T39" s="4" t="s">
        <v>34</v>
      </c>
      <c r="U39" s="4" t="s">
        <v>34</v>
      </c>
      <c r="V39" s="4" t="s">
        <v>37</v>
      </c>
      <c r="W39" s="4" t="s">
        <v>47</v>
      </c>
      <c r="X39" s="4" t="s">
        <v>156</v>
      </c>
      <c r="Y39" s="3">
        <f t="shared" si="0"/>
        <v>2025</v>
      </c>
      <c r="Z39" s="3">
        <f t="shared" si="1"/>
        <v>6</v>
      </c>
      <c r="AA39" s="3" t="str">
        <f>IFERROR(VLOOKUP($Z39,[1]TABLAS!$A$1:$B$13,2,0),"ERROR")</f>
        <v>JUNIO</v>
      </c>
      <c r="AB39" s="3">
        <f t="shared" si="2"/>
        <v>5</v>
      </c>
    </row>
    <row r="40" spans="1:28" ht="15" customHeight="1" x14ac:dyDescent="0.25">
      <c r="A40" s="4" t="s">
        <v>157</v>
      </c>
      <c r="B40" s="4" t="s">
        <v>155</v>
      </c>
      <c r="C40" s="4" t="s">
        <v>30</v>
      </c>
      <c r="D40" s="4" t="s">
        <v>30</v>
      </c>
      <c r="E40" s="4" t="s">
        <v>31</v>
      </c>
      <c r="F40" s="4" t="s">
        <v>32</v>
      </c>
      <c r="G40" s="4" t="s">
        <v>33</v>
      </c>
      <c r="H40" s="4" t="s">
        <v>34</v>
      </c>
      <c r="I40" s="4" t="s">
        <v>35</v>
      </c>
      <c r="J40" s="4" t="s">
        <v>36</v>
      </c>
      <c r="K40" s="4">
        <v>10</v>
      </c>
      <c r="L40" s="4" t="s">
        <v>37</v>
      </c>
      <c r="M40" s="4" t="s">
        <v>38</v>
      </c>
      <c r="N40" s="4" t="s">
        <v>39</v>
      </c>
      <c r="O40" s="4"/>
      <c r="P40" s="4"/>
      <c r="Q40" s="4" t="s">
        <v>104</v>
      </c>
      <c r="R40" s="4" t="s">
        <v>41</v>
      </c>
      <c r="S40" s="4" t="s">
        <v>42</v>
      </c>
      <c r="T40" s="4" t="s">
        <v>34</v>
      </c>
      <c r="U40" s="4" t="s">
        <v>34</v>
      </c>
      <c r="V40" s="4" t="s">
        <v>37</v>
      </c>
      <c r="W40" s="4" t="s">
        <v>47</v>
      </c>
      <c r="X40" s="4" t="s">
        <v>158</v>
      </c>
      <c r="Y40" s="3">
        <f t="shared" si="0"/>
        <v>2025</v>
      </c>
      <c r="Z40" s="3">
        <f t="shared" si="1"/>
        <v>6</v>
      </c>
      <c r="AA40" s="3" t="str">
        <f>IFERROR(VLOOKUP($Z40,[1]TABLAS!$A$1:$B$13,2,0),"ERROR")</f>
        <v>JUNIO</v>
      </c>
      <c r="AB40" s="3">
        <f t="shared" si="2"/>
        <v>5</v>
      </c>
    </row>
    <row r="41" spans="1:28" ht="15" customHeight="1" x14ac:dyDescent="0.25">
      <c r="A41" s="4" t="s">
        <v>159</v>
      </c>
      <c r="B41" s="4" t="s">
        <v>160</v>
      </c>
      <c r="C41" s="4" t="s">
        <v>30</v>
      </c>
      <c r="D41" s="4" t="s">
        <v>30</v>
      </c>
      <c r="E41" s="4" t="s">
        <v>31</v>
      </c>
      <c r="F41" s="4" t="s">
        <v>32</v>
      </c>
      <c r="G41" s="4" t="s">
        <v>33</v>
      </c>
      <c r="H41" s="4" t="s">
        <v>34</v>
      </c>
      <c r="I41" s="4" t="s">
        <v>35</v>
      </c>
      <c r="J41" s="4" t="s">
        <v>36</v>
      </c>
      <c r="K41" s="4">
        <v>10</v>
      </c>
      <c r="L41" s="4" t="s">
        <v>37</v>
      </c>
      <c r="M41" s="4" t="s">
        <v>38</v>
      </c>
      <c r="N41" s="4" t="s">
        <v>39</v>
      </c>
      <c r="O41" s="4"/>
      <c r="P41" s="4"/>
      <c r="Q41" s="4" t="s">
        <v>104</v>
      </c>
      <c r="R41" s="4" t="s">
        <v>41</v>
      </c>
      <c r="S41" s="4" t="s">
        <v>42</v>
      </c>
      <c r="T41" s="4" t="s">
        <v>34</v>
      </c>
      <c r="U41" s="4" t="s">
        <v>34</v>
      </c>
      <c r="V41" s="4" t="s">
        <v>37</v>
      </c>
      <c r="W41" s="4" t="s">
        <v>47</v>
      </c>
      <c r="X41" s="4" t="s">
        <v>161</v>
      </c>
      <c r="Y41" s="3">
        <f t="shared" si="0"/>
        <v>2025</v>
      </c>
      <c r="Z41" s="3">
        <f t="shared" si="1"/>
        <v>6</v>
      </c>
      <c r="AA41" s="3" t="str">
        <f>IFERROR(VLOOKUP($Z41,[1]TABLAS!$A$1:$B$13,2,0),"ERROR")</f>
        <v>JUNIO</v>
      </c>
      <c r="AB41" s="3">
        <f t="shared" si="2"/>
        <v>4</v>
      </c>
    </row>
    <row r="42" spans="1:28" ht="15" customHeight="1" x14ac:dyDescent="0.25">
      <c r="A42" s="4" t="s">
        <v>162</v>
      </c>
      <c r="B42" s="4" t="s">
        <v>160</v>
      </c>
      <c r="C42" s="4" t="s">
        <v>30</v>
      </c>
      <c r="D42" s="4" t="s">
        <v>30</v>
      </c>
      <c r="E42" s="4" t="s">
        <v>31</v>
      </c>
      <c r="F42" s="4" t="s">
        <v>32</v>
      </c>
      <c r="G42" s="4" t="s">
        <v>33</v>
      </c>
      <c r="H42" s="4" t="s">
        <v>34</v>
      </c>
      <c r="I42" s="4" t="s">
        <v>35</v>
      </c>
      <c r="J42" s="4" t="s">
        <v>36</v>
      </c>
      <c r="K42" s="4">
        <v>10</v>
      </c>
      <c r="L42" s="4" t="s">
        <v>37</v>
      </c>
      <c r="M42" s="4" t="s">
        <v>38</v>
      </c>
      <c r="N42" s="4" t="s">
        <v>39</v>
      </c>
      <c r="O42" s="4"/>
      <c r="P42" s="4"/>
      <c r="Q42" s="4" t="s">
        <v>104</v>
      </c>
      <c r="R42" s="4" t="s">
        <v>41</v>
      </c>
      <c r="S42" s="4" t="s">
        <v>42</v>
      </c>
      <c r="T42" s="4" t="s">
        <v>34</v>
      </c>
      <c r="U42" s="4" t="s">
        <v>34</v>
      </c>
      <c r="V42" s="4" t="s">
        <v>37</v>
      </c>
      <c r="W42" s="4" t="s">
        <v>47</v>
      </c>
      <c r="X42" s="4" t="s">
        <v>163</v>
      </c>
      <c r="Y42" s="3">
        <f t="shared" si="0"/>
        <v>2025</v>
      </c>
      <c r="Z42" s="3">
        <f t="shared" si="1"/>
        <v>6</v>
      </c>
      <c r="AA42" s="3" t="str">
        <f>IFERROR(VLOOKUP($Z42,[1]TABLAS!$A$1:$B$13,2,0),"ERROR")</f>
        <v>JUNIO</v>
      </c>
      <c r="AB42" s="3">
        <f t="shared" si="2"/>
        <v>4</v>
      </c>
    </row>
    <row r="43" spans="1:28" ht="15" customHeight="1" x14ac:dyDescent="0.25">
      <c r="A43" s="4" t="s">
        <v>164</v>
      </c>
      <c r="B43" s="4" t="s">
        <v>160</v>
      </c>
      <c r="C43" s="4" t="s">
        <v>30</v>
      </c>
      <c r="D43" s="4" t="s">
        <v>30</v>
      </c>
      <c r="E43" s="4" t="s">
        <v>31</v>
      </c>
      <c r="F43" s="4" t="s">
        <v>32</v>
      </c>
      <c r="G43" s="4" t="s">
        <v>33</v>
      </c>
      <c r="H43" s="4" t="s">
        <v>34</v>
      </c>
      <c r="I43" s="4" t="s">
        <v>35</v>
      </c>
      <c r="J43" s="4" t="s">
        <v>36</v>
      </c>
      <c r="K43" s="4">
        <v>10</v>
      </c>
      <c r="L43" s="4" t="s">
        <v>37</v>
      </c>
      <c r="M43" s="4" t="s">
        <v>38</v>
      </c>
      <c r="N43" s="4" t="s">
        <v>39</v>
      </c>
      <c r="O43" s="4"/>
      <c r="P43" s="4"/>
      <c r="Q43" s="4" t="s">
        <v>104</v>
      </c>
      <c r="R43" s="4" t="s">
        <v>41</v>
      </c>
      <c r="S43" s="4" t="s">
        <v>42</v>
      </c>
      <c r="T43" s="4" t="s">
        <v>34</v>
      </c>
      <c r="U43" s="4" t="s">
        <v>34</v>
      </c>
      <c r="V43" s="4" t="s">
        <v>37</v>
      </c>
      <c r="W43" s="4" t="s">
        <v>47</v>
      </c>
      <c r="X43" s="4" t="s">
        <v>165</v>
      </c>
      <c r="Y43" s="3">
        <f t="shared" si="0"/>
        <v>2025</v>
      </c>
      <c r="Z43" s="3">
        <f t="shared" si="1"/>
        <v>6</v>
      </c>
      <c r="AA43" s="3" t="str">
        <f>IFERROR(VLOOKUP($Z43,[1]TABLAS!$A$1:$B$13,2,0),"ERROR")</f>
        <v>JUNIO</v>
      </c>
      <c r="AB43" s="3">
        <f t="shared" si="2"/>
        <v>4</v>
      </c>
    </row>
    <row r="44" spans="1:28" ht="15" customHeight="1" x14ac:dyDescent="0.25">
      <c r="A44" s="4" t="s">
        <v>166</v>
      </c>
      <c r="B44" s="4" t="s">
        <v>167</v>
      </c>
      <c r="C44" s="4" t="s">
        <v>30</v>
      </c>
      <c r="D44" s="4" t="s">
        <v>30</v>
      </c>
      <c r="E44" s="4" t="s">
        <v>31</v>
      </c>
      <c r="F44" s="4" t="s">
        <v>32</v>
      </c>
      <c r="G44" s="4" t="s">
        <v>33</v>
      </c>
      <c r="H44" s="4" t="s">
        <v>34</v>
      </c>
      <c r="I44" s="4" t="s">
        <v>35</v>
      </c>
      <c r="J44" s="4" t="s">
        <v>36</v>
      </c>
      <c r="K44" s="4">
        <v>10</v>
      </c>
      <c r="L44" s="4" t="s">
        <v>37</v>
      </c>
      <c r="M44" s="4" t="s">
        <v>38</v>
      </c>
      <c r="N44" s="4" t="s">
        <v>39</v>
      </c>
      <c r="O44" s="4"/>
      <c r="P44" s="4"/>
      <c r="Q44" s="4" t="s">
        <v>104</v>
      </c>
      <c r="R44" s="4" t="s">
        <v>41</v>
      </c>
      <c r="S44" s="4" t="s">
        <v>42</v>
      </c>
      <c r="T44" s="4" t="s">
        <v>34</v>
      </c>
      <c r="U44" s="4" t="s">
        <v>34</v>
      </c>
      <c r="V44" s="4" t="s">
        <v>37</v>
      </c>
      <c r="W44" s="4" t="s">
        <v>47</v>
      </c>
      <c r="X44" s="4" t="s">
        <v>168</v>
      </c>
      <c r="Y44" s="3">
        <f t="shared" si="0"/>
        <v>2025</v>
      </c>
      <c r="Z44" s="3">
        <f t="shared" si="1"/>
        <v>6</v>
      </c>
      <c r="AA44" s="3" t="str">
        <f>IFERROR(VLOOKUP($Z44,[1]TABLAS!$A$1:$B$13,2,0),"ERROR")</f>
        <v>JUNIO</v>
      </c>
      <c r="AB44" s="3">
        <f t="shared" si="2"/>
        <v>3</v>
      </c>
    </row>
    <row r="45" spans="1:28" ht="15" customHeight="1" x14ac:dyDescent="0.25">
      <c r="A45" s="4" t="s">
        <v>169</v>
      </c>
      <c r="B45" s="4" t="s">
        <v>170</v>
      </c>
      <c r="C45" s="4" t="s">
        <v>30</v>
      </c>
      <c r="D45" s="4" t="s">
        <v>30</v>
      </c>
      <c r="E45" s="4" t="s">
        <v>31</v>
      </c>
      <c r="F45" s="4" t="s">
        <v>32</v>
      </c>
      <c r="G45" s="4" t="s">
        <v>33</v>
      </c>
      <c r="H45" s="4" t="s">
        <v>34</v>
      </c>
      <c r="I45" s="4" t="s">
        <v>35</v>
      </c>
      <c r="J45" s="4" t="s">
        <v>36</v>
      </c>
      <c r="K45" s="4">
        <v>13</v>
      </c>
      <c r="L45" s="4" t="s">
        <v>37</v>
      </c>
      <c r="M45" s="4" t="s">
        <v>38</v>
      </c>
      <c r="N45" s="4" t="s">
        <v>39</v>
      </c>
      <c r="O45" s="4"/>
      <c r="P45" s="4"/>
      <c r="Q45" s="4" t="s">
        <v>171</v>
      </c>
      <c r="R45" s="4" t="s">
        <v>41</v>
      </c>
      <c r="S45" s="4" t="s">
        <v>42</v>
      </c>
      <c r="T45" s="4" t="s">
        <v>34</v>
      </c>
      <c r="U45" s="4" t="s">
        <v>34</v>
      </c>
      <c r="V45" s="4" t="s">
        <v>37</v>
      </c>
      <c r="W45" s="4" t="s">
        <v>101</v>
      </c>
      <c r="X45" s="4" t="s">
        <v>172</v>
      </c>
      <c r="Y45" s="3">
        <f t="shared" si="0"/>
        <v>2025</v>
      </c>
      <c r="Z45" s="3">
        <f t="shared" si="1"/>
        <v>6</v>
      </c>
      <c r="AA45" s="3" t="str">
        <f>IFERROR(VLOOKUP($Z45,[1]TABLAS!$A$1:$B$13,2,0),"ERROR")</f>
        <v>JUNIO</v>
      </c>
      <c r="AB45" s="3">
        <f t="shared" si="2"/>
        <v>2</v>
      </c>
    </row>
    <row r="46" spans="1:28" ht="15" customHeight="1" x14ac:dyDescent="0.25">
      <c r="A46" s="4" t="s">
        <v>173</v>
      </c>
      <c r="B46" s="4" t="s">
        <v>170</v>
      </c>
      <c r="C46" s="4" t="s">
        <v>30</v>
      </c>
      <c r="D46" s="4" t="s">
        <v>30</v>
      </c>
      <c r="E46" s="4" t="s">
        <v>31</v>
      </c>
      <c r="F46" s="4" t="s">
        <v>32</v>
      </c>
      <c r="G46" s="4" t="s">
        <v>33</v>
      </c>
      <c r="H46" s="4" t="s">
        <v>34</v>
      </c>
      <c r="I46" s="4" t="s">
        <v>35</v>
      </c>
      <c r="J46" s="4" t="s">
        <v>36</v>
      </c>
      <c r="K46" s="4">
        <v>10</v>
      </c>
      <c r="L46" s="4" t="s">
        <v>37</v>
      </c>
      <c r="M46" s="4" t="s">
        <v>38</v>
      </c>
      <c r="N46" s="4" t="s">
        <v>39</v>
      </c>
      <c r="O46" s="4"/>
      <c r="P46" s="4"/>
      <c r="Q46" s="4" t="s">
        <v>104</v>
      </c>
      <c r="R46" s="4" t="s">
        <v>41</v>
      </c>
      <c r="S46" s="4" t="s">
        <v>42</v>
      </c>
      <c r="T46" s="4" t="s">
        <v>34</v>
      </c>
      <c r="U46" s="4" t="s">
        <v>34</v>
      </c>
      <c r="V46" s="4" t="s">
        <v>37</v>
      </c>
      <c r="W46" s="4" t="s">
        <v>47</v>
      </c>
      <c r="X46" s="4" t="s">
        <v>174</v>
      </c>
      <c r="Y46" s="3">
        <f t="shared" si="0"/>
        <v>2025</v>
      </c>
      <c r="Z46" s="3">
        <f t="shared" si="1"/>
        <v>6</v>
      </c>
      <c r="AA46" s="3" t="str">
        <f>IFERROR(VLOOKUP($Z46,[1]TABLAS!$A$1:$B$13,2,0),"ERROR")</f>
        <v>JUNIO</v>
      </c>
      <c r="AB46" s="3">
        <f t="shared" si="2"/>
        <v>2</v>
      </c>
    </row>
    <row r="47" spans="1:28" ht="15" customHeight="1" x14ac:dyDescent="0.25">
      <c r="A47" s="4" t="s">
        <v>175</v>
      </c>
      <c r="B47" s="4" t="s">
        <v>176</v>
      </c>
      <c r="C47" s="4" t="s">
        <v>30</v>
      </c>
      <c r="D47" s="4" t="s">
        <v>30</v>
      </c>
      <c r="E47" s="4" t="s">
        <v>31</v>
      </c>
      <c r="F47" s="4" t="s">
        <v>32</v>
      </c>
      <c r="G47" s="4" t="s">
        <v>33</v>
      </c>
      <c r="H47" s="4" t="s">
        <v>34</v>
      </c>
      <c r="I47" s="4" t="s">
        <v>35</v>
      </c>
      <c r="J47" s="4" t="s">
        <v>36</v>
      </c>
      <c r="K47" s="4">
        <v>10</v>
      </c>
      <c r="L47" s="4" t="s">
        <v>37</v>
      </c>
      <c r="M47" s="4" t="s">
        <v>38</v>
      </c>
      <c r="N47" s="4" t="s">
        <v>39</v>
      </c>
      <c r="O47" s="4"/>
      <c r="P47" s="4"/>
      <c r="Q47" s="4" t="s">
        <v>104</v>
      </c>
      <c r="R47" s="4" t="s">
        <v>41</v>
      </c>
      <c r="S47" s="4" t="s">
        <v>42</v>
      </c>
      <c r="T47" s="4" t="s">
        <v>34</v>
      </c>
      <c r="U47" s="4" t="s">
        <v>34</v>
      </c>
      <c r="V47" s="4" t="s">
        <v>37</v>
      </c>
      <c r="W47" s="4" t="s">
        <v>101</v>
      </c>
      <c r="X47" s="4" t="s">
        <v>177</v>
      </c>
      <c r="Y47" s="3">
        <f t="shared" si="0"/>
        <v>2025</v>
      </c>
      <c r="Z47" s="3">
        <f t="shared" si="1"/>
        <v>5</v>
      </c>
      <c r="AA47" s="3" t="str">
        <f>IFERROR(VLOOKUP($Z47,[1]TABLAS!$A$1:$B$13,2,0),"ERROR")</f>
        <v>MAYO</v>
      </c>
      <c r="AB47" s="3">
        <f t="shared" si="2"/>
        <v>24</v>
      </c>
    </row>
    <row r="48" spans="1:28" ht="15" customHeight="1" x14ac:dyDescent="0.25">
      <c r="A48" s="4" t="s">
        <v>178</v>
      </c>
      <c r="B48" s="4" t="s">
        <v>179</v>
      </c>
      <c r="C48" s="4" t="s">
        <v>30</v>
      </c>
      <c r="D48" s="4" t="s">
        <v>30</v>
      </c>
      <c r="E48" s="4" t="s">
        <v>31</v>
      </c>
      <c r="F48" s="4" t="s">
        <v>32</v>
      </c>
      <c r="G48" s="4" t="s">
        <v>33</v>
      </c>
      <c r="H48" s="4" t="s">
        <v>34</v>
      </c>
      <c r="I48" s="4" t="s">
        <v>35</v>
      </c>
      <c r="J48" s="4" t="s">
        <v>36</v>
      </c>
      <c r="K48" s="4">
        <v>10</v>
      </c>
      <c r="L48" s="4" t="s">
        <v>37</v>
      </c>
      <c r="M48" s="4" t="s">
        <v>38</v>
      </c>
      <c r="N48" s="4" t="s">
        <v>39</v>
      </c>
      <c r="O48" s="4"/>
      <c r="P48" s="4"/>
      <c r="Q48" s="4" t="s">
        <v>104</v>
      </c>
      <c r="R48" s="4" t="s">
        <v>41</v>
      </c>
      <c r="S48" s="4" t="s">
        <v>42</v>
      </c>
      <c r="T48" s="4" t="s">
        <v>34</v>
      </c>
      <c r="U48" s="4" t="s">
        <v>34</v>
      </c>
      <c r="V48" s="4" t="s">
        <v>37</v>
      </c>
      <c r="W48" s="4" t="s">
        <v>101</v>
      </c>
      <c r="X48" s="4" t="s">
        <v>180</v>
      </c>
      <c r="Y48" s="3">
        <f t="shared" si="0"/>
        <v>2025</v>
      </c>
      <c r="Z48" s="3">
        <f t="shared" si="1"/>
        <v>5</v>
      </c>
      <c r="AA48" s="3" t="str">
        <f>IFERROR(VLOOKUP($Z48,[1]TABLAS!$A$1:$B$13,2,0),"ERROR")</f>
        <v>MAYO</v>
      </c>
      <c r="AB48" s="3">
        <f t="shared" si="2"/>
        <v>23</v>
      </c>
    </row>
    <row r="49" spans="1:28" ht="15" customHeight="1" x14ac:dyDescent="0.25">
      <c r="A49" s="4" t="s">
        <v>181</v>
      </c>
      <c r="B49" s="4" t="s">
        <v>182</v>
      </c>
      <c r="C49" s="4" t="s">
        <v>30</v>
      </c>
      <c r="D49" s="4" t="s">
        <v>30</v>
      </c>
      <c r="E49" s="4" t="s">
        <v>31</v>
      </c>
      <c r="F49" s="4" t="s">
        <v>32</v>
      </c>
      <c r="G49" s="4" t="s">
        <v>33</v>
      </c>
      <c r="H49" s="4" t="s">
        <v>34</v>
      </c>
      <c r="I49" s="4" t="s">
        <v>35</v>
      </c>
      <c r="J49" s="4" t="s">
        <v>36</v>
      </c>
      <c r="K49" s="4">
        <v>10</v>
      </c>
      <c r="L49" s="4" t="s">
        <v>37</v>
      </c>
      <c r="M49" s="4" t="s">
        <v>38</v>
      </c>
      <c r="N49" s="4" t="s">
        <v>39</v>
      </c>
      <c r="O49" s="4"/>
      <c r="P49" s="4"/>
      <c r="Q49" s="4" t="s">
        <v>104</v>
      </c>
      <c r="R49" s="4" t="s">
        <v>41</v>
      </c>
      <c r="S49" s="4" t="s">
        <v>42</v>
      </c>
      <c r="T49" s="4" t="s">
        <v>34</v>
      </c>
      <c r="U49" s="4" t="s">
        <v>34</v>
      </c>
      <c r="V49" s="4" t="s">
        <v>37</v>
      </c>
      <c r="W49" s="4" t="s">
        <v>101</v>
      </c>
      <c r="X49" s="4" t="s">
        <v>183</v>
      </c>
      <c r="Y49" s="3">
        <f t="shared" si="0"/>
        <v>2025</v>
      </c>
      <c r="Z49" s="3">
        <f t="shared" si="1"/>
        <v>5</v>
      </c>
      <c r="AA49" s="3" t="str">
        <f>IFERROR(VLOOKUP($Z49,[1]TABLAS!$A$1:$B$13,2,0),"ERROR")</f>
        <v>MAYO</v>
      </c>
      <c r="AB49" s="3">
        <f t="shared" si="2"/>
        <v>22</v>
      </c>
    </row>
    <row r="50" spans="1:28" ht="15" customHeight="1" x14ac:dyDescent="0.25">
      <c r="A50" s="4" t="s">
        <v>184</v>
      </c>
      <c r="B50" s="4" t="s">
        <v>185</v>
      </c>
      <c r="C50" s="4" t="s">
        <v>30</v>
      </c>
      <c r="D50" s="4" t="s">
        <v>30</v>
      </c>
      <c r="E50" s="4" t="s">
        <v>31</v>
      </c>
      <c r="F50" s="4" t="s">
        <v>32</v>
      </c>
      <c r="G50" s="4" t="s">
        <v>33</v>
      </c>
      <c r="H50" s="4" t="s">
        <v>34</v>
      </c>
      <c r="I50" s="4" t="s">
        <v>35</v>
      </c>
      <c r="J50" s="4" t="s">
        <v>36</v>
      </c>
      <c r="K50" s="4">
        <v>10</v>
      </c>
      <c r="L50" s="4" t="s">
        <v>37</v>
      </c>
      <c r="M50" s="4" t="s">
        <v>38</v>
      </c>
      <c r="N50" s="4" t="s">
        <v>39</v>
      </c>
      <c r="O50" s="4"/>
      <c r="P50" s="4"/>
      <c r="Q50" s="4" t="s">
        <v>104</v>
      </c>
      <c r="R50" s="4" t="s">
        <v>41</v>
      </c>
      <c r="S50" s="4" t="s">
        <v>42</v>
      </c>
      <c r="T50" s="4" t="s">
        <v>34</v>
      </c>
      <c r="U50" s="4" t="s">
        <v>34</v>
      </c>
      <c r="V50" s="4" t="s">
        <v>37</v>
      </c>
      <c r="W50" s="4" t="s">
        <v>47</v>
      </c>
      <c r="X50" s="4" t="s">
        <v>186</v>
      </c>
      <c r="Y50" s="3">
        <f t="shared" si="0"/>
        <v>2025</v>
      </c>
      <c r="Z50" s="3">
        <f t="shared" si="1"/>
        <v>5</v>
      </c>
      <c r="AA50" s="3" t="str">
        <f>IFERROR(VLOOKUP($Z50,[1]TABLAS!$A$1:$B$13,2,0),"ERROR")</f>
        <v>MAYO</v>
      </c>
      <c r="AB50" s="3">
        <f t="shared" si="2"/>
        <v>21</v>
      </c>
    </row>
    <row r="51" spans="1:28" ht="15" customHeight="1" x14ac:dyDescent="0.25">
      <c r="A51" s="4" t="s">
        <v>187</v>
      </c>
      <c r="B51" s="4" t="s">
        <v>188</v>
      </c>
      <c r="C51" s="4" t="s">
        <v>30</v>
      </c>
      <c r="D51" s="4" t="s">
        <v>30</v>
      </c>
      <c r="E51" s="4" t="s">
        <v>31</v>
      </c>
      <c r="F51" s="4" t="s">
        <v>32</v>
      </c>
      <c r="G51" s="4" t="s">
        <v>33</v>
      </c>
      <c r="H51" s="4" t="s">
        <v>34</v>
      </c>
      <c r="I51" s="4" t="s">
        <v>35</v>
      </c>
      <c r="J51" s="4" t="s">
        <v>36</v>
      </c>
      <c r="K51" s="4">
        <v>10</v>
      </c>
      <c r="L51" s="4" t="s">
        <v>37</v>
      </c>
      <c r="M51" s="4" t="s">
        <v>38</v>
      </c>
      <c r="N51" s="4" t="s">
        <v>39</v>
      </c>
      <c r="O51" s="4"/>
      <c r="P51" s="4"/>
      <c r="Q51" s="4" t="s">
        <v>104</v>
      </c>
      <c r="R51" s="4" t="s">
        <v>41</v>
      </c>
      <c r="S51" s="4" t="s">
        <v>42</v>
      </c>
      <c r="T51" s="4" t="s">
        <v>34</v>
      </c>
      <c r="U51" s="4" t="s">
        <v>34</v>
      </c>
      <c r="V51" s="4" t="s">
        <v>37</v>
      </c>
      <c r="W51" s="4" t="s">
        <v>47</v>
      </c>
      <c r="X51" s="4" t="s">
        <v>189</v>
      </c>
      <c r="Y51" s="3">
        <f t="shared" si="0"/>
        <v>2025</v>
      </c>
      <c r="Z51" s="3">
        <f t="shared" si="1"/>
        <v>5</v>
      </c>
      <c r="AA51" s="3" t="str">
        <f>IFERROR(VLOOKUP($Z51,[1]TABLAS!$A$1:$B$13,2,0),"ERROR")</f>
        <v>MAYO</v>
      </c>
      <c r="AB51" s="3">
        <f t="shared" si="2"/>
        <v>16</v>
      </c>
    </row>
    <row r="52" spans="1:28" ht="15" customHeight="1" x14ac:dyDescent="0.25">
      <c r="A52" s="4" t="s">
        <v>190</v>
      </c>
      <c r="B52" s="4" t="s">
        <v>188</v>
      </c>
      <c r="C52" s="4" t="s">
        <v>30</v>
      </c>
      <c r="D52" s="4" t="s">
        <v>30</v>
      </c>
      <c r="E52" s="4" t="s">
        <v>31</v>
      </c>
      <c r="F52" s="4" t="s">
        <v>32</v>
      </c>
      <c r="G52" s="4" t="s">
        <v>33</v>
      </c>
      <c r="H52" s="4" t="s">
        <v>34</v>
      </c>
      <c r="I52" s="4" t="s">
        <v>35</v>
      </c>
      <c r="J52" s="4" t="s">
        <v>36</v>
      </c>
      <c r="K52" s="4">
        <v>10</v>
      </c>
      <c r="L52" s="4" t="s">
        <v>37</v>
      </c>
      <c r="M52" s="4" t="s">
        <v>38</v>
      </c>
      <c r="N52" s="4" t="s">
        <v>39</v>
      </c>
      <c r="O52" s="4"/>
      <c r="P52" s="4"/>
      <c r="Q52" s="4" t="s">
        <v>104</v>
      </c>
      <c r="R52" s="4" t="s">
        <v>41</v>
      </c>
      <c r="S52" s="4" t="s">
        <v>42</v>
      </c>
      <c r="T52" s="4" t="s">
        <v>34</v>
      </c>
      <c r="U52" s="4" t="s">
        <v>34</v>
      </c>
      <c r="V52" s="4" t="s">
        <v>37</v>
      </c>
      <c r="W52" s="4" t="s">
        <v>47</v>
      </c>
      <c r="X52" s="4" t="s">
        <v>191</v>
      </c>
      <c r="Y52" s="3">
        <f t="shared" si="0"/>
        <v>2025</v>
      </c>
      <c r="Z52" s="3">
        <f t="shared" si="1"/>
        <v>5</v>
      </c>
      <c r="AA52" s="3" t="str">
        <f>IFERROR(VLOOKUP($Z52,[1]TABLAS!$A$1:$B$13,2,0),"ERROR")</f>
        <v>MAYO</v>
      </c>
      <c r="AB52" s="3">
        <f t="shared" si="2"/>
        <v>16</v>
      </c>
    </row>
    <row r="53" spans="1:28" x14ac:dyDescent="0.25">
      <c r="K53" s="3">
        <f>SUBTOTAL(9,K2:K52)</f>
        <v>2260.8599999999997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PUBLICIDAD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Guerrero</dc:creator>
  <cp:lastModifiedBy>Juan Guerrero</cp:lastModifiedBy>
  <dcterms:created xsi:type="dcterms:W3CDTF">2025-11-11T19:59:56Z</dcterms:created>
  <dcterms:modified xsi:type="dcterms:W3CDTF">2025-11-11T20:04:23Z</dcterms:modified>
</cp:coreProperties>
</file>